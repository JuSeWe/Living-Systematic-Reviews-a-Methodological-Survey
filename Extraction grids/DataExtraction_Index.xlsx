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166925"/>
  <mc:AlternateContent xmlns:mc="http://schemas.openxmlformats.org/markup-compatibility/2006">
    <mc:Choice Requires="x15">
      <x15ac:absPath xmlns:x15ac="http://schemas.microsoft.com/office/spreadsheetml/2010/11/ac" url="/Users/Justine/Desktop/LSR Dossier de la Pitié/Documents/3.Extraction/Pour partage sur github/"/>
    </mc:Choice>
  </mc:AlternateContent>
  <xr:revisionPtr revIDLastSave="0" documentId="8_{8F58C885-1FB0-3C4B-9D58-3AA463A90F72}" xr6:coauthVersionLast="47" xr6:coauthVersionMax="47" xr10:uidLastSave="{00000000-0000-0000-0000-000000000000}"/>
  <bookViews>
    <workbookView xWindow="0" yWindow="500" windowWidth="25600" windowHeight="14500" xr2:uid="{E61BFD99-8E6B-4587-85A2-B3C99CD46385}"/>
  </bookViews>
  <sheets>
    <sheet name="Index LSR Extraction Grid N=47" sheetId="3" r:id="rId1"/>
  </sheets>
  <definedNames>
    <definedName name="_xlnm._FilterDatabase" localSheetId="0" hidden="1">'Index LSR Extraction Grid N=47'!$A$1:$JH$48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W3" i="3" l="1"/>
  <c r="EW4" i="3"/>
  <c r="EW5" i="3"/>
  <c r="EW6" i="3"/>
  <c r="EW7" i="3"/>
  <c r="EW8" i="3"/>
  <c r="EW9" i="3"/>
  <c r="EW10" i="3"/>
  <c r="EW17" i="3"/>
  <c r="EW18" i="3"/>
  <c r="EW22" i="3"/>
  <c r="EW14" i="3"/>
  <c r="EW11" i="3"/>
  <c r="EW16" i="3"/>
  <c r="EW25" i="3"/>
  <c r="EW26" i="3"/>
  <c r="EW19" i="3"/>
  <c r="EW20" i="3"/>
  <c r="EW21" i="3"/>
  <c r="EW27" i="3"/>
  <c r="EW23" i="3"/>
  <c r="EW24" i="3"/>
  <c r="EW31" i="3"/>
  <c r="EW42" i="3"/>
  <c r="EW46" i="3"/>
  <c r="EW28" i="3"/>
  <c r="EW29" i="3"/>
  <c r="EW30" i="3"/>
  <c r="EW12" i="3"/>
  <c r="EW32" i="3"/>
  <c r="EW33" i="3"/>
  <c r="EW34" i="3"/>
  <c r="EW35" i="3"/>
  <c r="EW36" i="3"/>
  <c r="EW37" i="3"/>
  <c r="EW38" i="3"/>
  <c r="EW39" i="3"/>
  <c r="EW40" i="3"/>
  <c r="EW41" i="3"/>
  <c r="EW13" i="3"/>
  <c r="EW43" i="3"/>
  <c r="EW44" i="3"/>
  <c r="EW45" i="3"/>
  <c r="EW15" i="3"/>
  <c r="EW47" i="3"/>
  <c r="EW48" i="3"/>
  <c r="EW2" i="3"/>
  <c r="HE38" i="3" l="1"/>
  <c r="HC24" i="3"/>
  <c r="HC4" i="3" l="1"/>
  <c r="JE36" i="3" l="1"/>
  <c r="FO35" i="3"/>
  <c r="JG34" i="3"/>
  <c r="JE34" i="3"/>
  <c r="JB34" i="3"/>
  <c r="IY34" i="3"/>
  <c r="IV34" i="3"/>
  <c r="IR34" i="3"/>
  <c r="ID34" i="3"/>
  <c r="IB34" i="3"/>
  <c r="HZ34" i="3"/>
  <c r="HT34" i="3"/>
  <c r="HR34" i="3"/>
  <c r="HP34" i="3"/>
  <c r="HN34" i="3"/>
  <c r="HE34" i="3"/>
  <c r="HC34" i="3"/>
  <c r="HA34" i="3"/>
  <c r="GS34" i="3"/>
  <c r="GQ34" i="3"/>
  <c r="GN34" i="3"/>
  <c r="GK34" i="3"/>
  <c r="GH34" i="3"/>
  <c r="GF34" i="3"/>
  <c r="GD34" i="3"/>
  <c r="GB34" i="3"/>
  <c r="FY34" i="3"/>
  <c r="FX34" i="3"/>
  <c r="FW34" i="3"/>
  <c r="FV34" i="3"/>
  <c r="FS34" i="3"/>
  <c r="FO34" i="3"/>
  <c r="FB34" i="3"/>
  <c r="JG33" i="3"/>
  <c r="JE33" i="3"/>
  <c r="JB33" i="3"/>
  <c r="IY33" i="3"/>
  <c r="IV33" i="3"/>
  <c r="IR33" i="3"/>
  <c r="ID33" i="3"/>
  <c r="IB33" i="3"/>
  <c r="HZ33" i="3"/>
  <c r="HT33" i="3"/>
  <c r="HR33" i="3"/>
  <c r="HP33" i="3"/>
  <c r="HN33" i="3"/>
  <c r="HE33" i="3"/>
  <c r="HC33" i="3"/>
  <c r="HA33" i="3"/>
  <c r="GS33" i="3"/>
  <c r="GQ33" i="3"/>
  <c r="GN33" i="3"/>
  <c r="GK33" i="3"/>
  <c r="GH33" i="3"/>
  <c r="GF33" i="3"/>
  <c r="GD33" i="3"/>
  <c r="GB33" i="3"/>
  <c r="FY33" i="3"/>
  <c r="FX33" i="3"/>
  <c r="FW33" i="3"/>
  <c r="FV33" i="3"/>
  <c r="FS33" i="3"/>
  <c r="FO33" i="3"/>
  <c r="FB33" i="3"/>
  <c r="JG32" i="3"/>
  <c r="JE32" i="3"/>
  <c r="JB32" i="3"/>
  <c r="IY32" i="3"/>
  <c r="IV32" i="3"/>
  <c r="IR32" i="3"/>
  <c r="ID32" i="3"/>
  <c r="IB32" i="3"/>
  <c r="HZ32" i="3"/>
  <c r="HT32" i="3"/>
  <c r="HR32" i="3"/>
  <c r="HP32" i="3"/>
  <c r="HN32" i="3"/>
  <c r="HE32" i="3"/>
  <c r="HC32" i="3"/>
  <c r="HA32" i="3"/>
  <c r="GS32" i="3"/>
  <c r="GQ32" i="3"/>
  <c r="GN32" i="3"/>
  <c r="GK32" i="3"/>
  <c r="GH32" i="3"/>
  <c r="GF32" i="3"/>
  <c r="GD32" i="3"/>
  <c r="GB32" i="3"/>
  <c r="FY32" i="3"/>
  <c r="FX32" i="3"/>
  <c r="FW32" i="3"/>
  <c r="FV32" i="3"/>
  <c r="FS32" i="3"/>
  <c r="FO32" i="3"/>
  <c r="FB32" i="3"/>
  <c r="JE12" i="3"/>
  <c r="JB12" i="3"/>
  <c r="IY12" i="3"/>
  <c r="IV12" i="3"/>
  <c r="IR12" i="3"/>
  <c r="ID12" i="3"/>
  <c r="IB12" i="3"/>
  <c r="HZ12" i="3"/>
  <c r="HT12" i="3"/>
  <c r="HR12" i="3"/>
  <c r="HP12" i="3"/>
  <c r="HN12" i="3"/>
  <c r="HE12" i="3"/>
  <c r="HC12" i="3"/>
  <c r="HA12" i="3"/>
  <c r="GS12" i="3"/>
  <c r="GQ12" i="3"/>
  <c r="GN12" i="3"/>
  <c r="GK12" i="3"/>
  <c r="GH12" i="3"/>
  <c r="GF12" i="3"/>
  <c r="GB12" i="3"/>
  <c r="FY12" i="3"/>
  <c r="FX12" i="3"/>
  <c r="FW12" i="3"/>
  <c r="FV12" i="3"/>
  <c r="FS12" i="3"/>
  <c r="FO12" i="3"/>
  <c r="FB12" i="3"/>
  <c r="JG30" i="3"/>
  <c r="JE30" i="3"/>
  <c r="JB30" i="3"/>
  <c r="IY30" i="3"/>
  <c r="IV30" i="3"/>
  <c r="IR30" i="3"/>
  <c r="ID30" i="3"/>
  <c r="IB30" i="3"/>
  <c r="HZ30" i="3"/>
  <c r="HT30" i="3"/>
  <c r="HR30" i="3"/>
  <c r="HP30" i="3"/>
  <c r="HN30" i="3"/>
  <c r="HE30" i="3"/>
  <c r="HC30" i="3"/>
  <c r="HA30" i="3"/>
  <c r="GS30" i="3"/>
  <c r="GQ30" i="3"/>
  <c r="GN30" i="3"/>
  <c r="GK30" i="3"/>
  <c r="GH30" i="3"/>
  <c r="GF30" i="3"/>
  <c r="GD30" i="3"/>
  <c r="GB30" i="3"/>
  <c r="FY30" i="3"/>
  <c r="FX30" i="3"/>
  <c r="FW30" i="3"/>
  <c r="FV30" i="3"/>
  <c r="FS30" i="3"/>
  <c r="FO30" i="3"/>
  <c r="FB30" i="3"/>
  <c r="JE29" i="3"/>
  <c r="JB29" i="3"/>
  <c r="IY29" i="3"/>
  <c r="IV29" i="3"/>
  <c r="IR29" i="3"/>
  <c r="ID29" i="3"/>
  <c r="IB29" i="3"/>
  <c r="HZ29" i="3"/>
  <c r="HT29" i="3"/>
  <c r="HR29" i="3"/>
  <c r="HP29" i="3"/>
  <c r="HN29" i="3"/>
  <c r="HE29" i="3"/>
  <c r="HC29" i="3"/>
  <c r="HA29" i="3"/>
  <c r="GS29" i="3"/>
  <c r="GQ29" i="3"/>
  <c r="GN29" i="3"/>
  <c r="GK29" i="3"/>
  <c r="GH29" i="3"/>
  <c r="GF29" i="3"/>
  <c r="GD29" i="3"/>
  <c r="GB29" i="3"/>
  <c r="FY29" i="3"/>
  <c r="FX29" i="3"/>
  <c r="FW29" i="3"/>
  <c r="FO29" i="3"/>
  <c r="FB29" i="3"/>
  <c r="JE28" i="3"/>
  <c r="JB28" i="3"/>
  <c r="IY28" i="3"/>
  <c r="IV28" i="3"/>
  <c r="IR28" i="3"/>
  <c r="ID28" i="3"/>
  <c r="IB28" i="3"/>
  <c r="HZ28" i="3"/>
  <c r="HT28" i="3"/>
  <c r="HP28" i="3"/>
  <c r="HN28" i="3"/>
  <c r="HE28" i="3"/>
  <c r="HC28" i="3"/>
  <c r="HA28" i="3"/>
  <c r="GS28" i="3"/>
  <c r="GQ28" i="3"/>
  <c r="GN28" i="3"/>
  <c r="GK28" i="3"/>
  <c r="GH28" i="3"/>
  <c r="GF28" i="3"/>
  <c r="GD28" i="3"/>
  <c r="GB28" i="3"/>
  <c r="FY28" i="3"/>
  <c r="FX28" i="3"/>
  <c r="FW28" i="3"/>
  <c r="FV28" i="3"/>
  <c r="FS28" i="3"/>
  <c r="FO28" i="3"/>
  <c r="FB28" i="3"/>
  <c r="JG46" i="3"/>
  <c r="JE46" i="3"/>
  <c r="IY46" i="3"/>
  <c r="IV46" i="3"/>
  <c r="IR46" i="3"/>
  <c r="ID46" i="3"/>
  <c r="HZ46" i="3"/>
  <c r="HT46" i="3"/>
  <c r="HR46" i="3"/>
  <c r="HP46" i="3"/>
  <c r="HN46" i="3"/>
  <c r="HE46" i="3"/>
  <c r="HA46" i="3"/>
  <c r="GS46" i="3"/>
  <c r="GQ46" i="3"/>
  <c r="GN46" i="3"/>
  <c r="GK46" i="3"/>
  <c r="GD46" i="3"/>
  <c r="GB46" i="3"/>
  <c r="FY46" i="3"/>
  <c r="FX46" i="3"/>
  <c r="FW46" i="3"/>
  <c r="FV46" i="3"/>
  <c r="FS46" i="3"/>
  <c r="FO46" i="3"/>
  <c r="FB46" i="3"/>
  <c r="JE42" i="3"/>
  <c r="JB42" i="3"/>
  <c r="IY42" i="3"/>
  <c r="IV42" i="3"/>
  <c r="IR42" i="3"/>
  <c r="ID42" i="3"/>
  <c r="IB42" i="3"/>
  <c r="HZ42" i="3"/>
  <c r="HT42" i="3"/>
  <c r="HR42" i="3"/>
  <c r="HP42" i="3"/>
  <c r="HN42" i="3"/>
  <c r="HE42" i="3"/>
  <c r="HC42" i="3"/>
  <c r="HA42" i="3"/>
  <c r="GS42" i="3"/>
  <c r="GQ42" i="3"/>
  <c r="GN42" i="3"/>
  <c r="GK42" i="3"/>
  <c r="GH42" i="3"/>
  <c r="GF42" i="3"/>
  <c r="GD42" i="3"/>
  <c r="GB42" i="3"/>
  <c r="FY42" i="3"/>
  <c r="FX42" i="3"/>
  <c r="FW42" i="3"/>
  <c r="FV42" i="3"/>
  <c r="FS42" i="3"/>
  <c r="FO42" i="3"/>
  <c r="FB42" i="3"/>
  <c r="FZ46" i="3" l="1"/>
  <c r="FZ28" i="3"/>
  <c r="FZ33" i="3"/>
  <c r="FZ30" i="3"/>
  <c r="FZ32" i="3"/>
  <c r="FZ12" i="3"/>
  <c r="FZ42" i="3"/>
  <c r="FZ29" i="3"/>
  <c r="FZ34" i="3"/>
  <c r="JE27" i="3"/>
  <c r="IR27" i="3"/>
  <c r="FS20" i="3"/>
  <c r="GQ3" i="3" l="1"/>
  <c r="GQ4" i="3"/>
  <c r="GQ5" i="3"/>
  <c r="GQ6" i="3"/>
  <c r="GQ7" i="3"/>
  <c r="GQ8" i="3"/>
  <c r="GQ9" i="3"/>
  <c r="GQ10" i="3"/>
  <c r="GQ17" i="3"/>
  <c r="GQ18" i="3"/>
  <c r="GQ22" i="3"/>
  <c r="GQ14" i="3"/>
  <c r="GQ11" i="3"/>
  <c r="GQ16" i="3"/>
  <c r="GQ25" i="3"/>
  <c r="GQ26" i="3"/>
  <c r="GQ19" i="3"/>
  <c r="GQ20" i="3"/>
  <c r="GQ21" i="3"/>
  <c r="GQ23" i="3"/>
  <c r="GQ24" i="3"/>
  <c r="GQ31" i="3"/>
  <c r="GQ35" i="3"/>
  <c r="GQ36" i="3"/>
  <c r="GQ37" i="3"/>
  <c r="GQ38" i="3"/>
  <c r="GQ39" i="3"/>
  <c r="GQ40" i="3"/>
  <c r="GQ41" i="3"/>
  <c r="GQ13" i="3"/>
  <c r="GQ43" i="3"/>
  <c r="GQ44" i="3"/>
  <c r="GQ45" i="3"/>
  <c r="GQ15" i="3"/>
  <c r="GQ47" i="3"/>
  <c r="GQ48" i="3"/>
  <c r="GQ2" i="3"/>
  <c r="FX6" i="3"/>
  <c r="FX7" i="3"/>
  <c r="FX8" i="3"/>
  <c r="FX9" i="3"/>
  <c r="FX10" i="3"/>
  <c r="FX17" i="3"/>
  <c r="FX18" i="3"/>
  <c r="FX22" i="3"/>
  <c r="FX14" i="3"/>
  <c r="FX11" i="3"/>
  <c r="FX16" i="3"/>
  <c r="FX25" i="3"/>
  <c r="FX26" i="3"/>
  <c r="FX19" i="3"/>
  <c r="FX20" i="3"/>
  <c r="FX21" i="3"/>
  <c r="FX27" i="3"/>
  <c r="FX23" i="3"/>
  <c r="FX24" i="3"/>
  <c r="FX31" i="3"/>
  <c r="FX35" i="3"/>
  <c r="FX36" i="3"/>
  <c r="FX37" i="3"/>
  <c r="FX38" i="3"/>
  <c r="FX39" i="3"/>
  <c r="FX40" i="3"/>
  <c r="FX41" i="3"/>
  <c r="FX13" i="3"/>
  <c r="FX43" i="3"/>
  <c r="FX44" i="3"/>
  <c r="FX45" i="3"/>
  <c r="FX15" i="3"/>
  <c r="FX47" i="3"/>
  <c r="FX48" i="3"/>
  <c r="FX3" i="3"/>
  <c r="FX4" i="3"/>
  <c r="FX5" i="3"/>
  <c r="FW6" i="3"/>
  <c r="FW7" i="3"/>
  <c r="FW8" i="3"/>
  <c r="FW9" i="3"/>
  <c r="FW10" i="3"/>
  <c r="FW17" i="3"/>
  <c r="FW18" i="3"/>
  <c r="FW22" i="3"/>
  <c r="FW14" i="3"/>
  <c r="FW11" i="3"/>
  <c r="FW16" i="3"/>
  <c r="FW25" i="3"/>
  <c r="FW26" i="3"/>
  <c r="FW19" i="3"/>
  <c r="FW20" i="3"/>
  <c r="FW21" i="3"/>
  <c r="FW27" i="3"/>
  <c r="FW23" i="3"/>
  <c r="FW24" i="3"/>
  <c r="FW31" i="3"/>
  <c r="FW35" i="3"/>
  <c r="FW36" i="3"/>
  <c r="FW37" i="3"/>
  <c r="FW38" i="3"/>
  <c r="FW39" i="3"/>
  <c r="FW40" i="3"/>
  <c r="FW41" i="3"/>
  <c r="FW13" i="3"/>
  <c r="FW43" i="3"/>
  <c r="FW44" i="3"/>
  <c r="FW45" i="3"/>
  <c r="FW15" i="3"/>
  <c r="FW47" i="3"/>
  <c r="FW48" i="3"/>
  <c r="FW2" i="3"/>
  <c r="FW3" i="3"/>
  <c r="FW4" i="3"/>
  <c r="FW5" i="3"/>
  <c r="FY3" i="3" l="1"/>
  <c r="FY4" i="3"/>
  <c r="FZ4" i="3" s="1"/>
  <c r="FY5" i="3"/>
  <c r="FZ5" i="3" s="1"/>
  <c r="FY6" i="3"/>
  <c r="FZ6" i="3" s="1"/>
  <c r="FY7" i="3"/>
  <c r="FZ7" i="3" s="1"/>
  <c r="FY8" i="3"/>
  <c r="FZ8" i="3" s="1"/>
  <c r="FY9" i="3"/>
  <c r="FZ9" i="3" s="1"/>
  <c r="FY10" i="3"/>
  <c r="FZ10" i="3" s="1"/>
  <c r="FY17" i="3"/>
  <c r="FZ17" i="3" s="1"/>
  <c r="FY18" i="3"/>
  <c r="FZ18" i="3" s="1"/>
  <c r="FY22" i="3"/>
  <c r="FZ22" i="3" s="1"/>
  <c r="FY11" i="3"/>
  <c r="FZ11" i="3" s="1"/>
  <c r="FY16" i="3"/>
  <c r="FZ16" i="3" s="1"/>
  <c r="FY25" i="3"/>
  <c r="FZ25" i="3" s="1"/>
  <c r="FY26" i="3"/>
  <c r="FZ26" i="3" s="1"/>
  <c r="FY19" i="3"/>
  <c r="FZ19" i="3" s="1"/>
  <c r="FY20" i="3"/>
  <c r="FZ20" i="3" s="1"/>
  <c r="FY21" i="3"/>
  <c r="FZ21" i="3" s="1"/>
  <c r="FY27" i="3"/>
  <c r="FZ27" i="3" s="1"/>
  <c r="FY23" i="3"/>
  <c r="FZ23" i="3" s="1"/>
  <c r="FY24" i="3"/>
  <c r="FY31" i="3"/>
  <c r="FZ31" i="3" s="1"/>
  <c r="FY35" i="3"/>
  <c r="FZ35" i="3" s="1"/>
  <c r="FY36" i="3"/>
  <c r="FZ36" i="3" s="1"/>
  <c r="FY37" i="3"/>
  <c r="FZ37" i="3" s="1"/>
  <c r="FY38" i="3"/>
  <c r="FZ38" i="3" s="1"/>
  <c r="FY39" i="3"/>
  <c r="FZ39" i="3" s="1"/>
  <c r="FY40" i="3"/>
  <c r="FZ40" i="3" s="1"/>
  <c r="FY41" i="3"/>
  <c r="FZ41" i="3" s="1"/>
  <c r="FY13" i="3"/>
  <c r="FZ13" i="3" s="1"/>
  <c r="FY43" i="3"/>
  <c r="FZ43" i="3" s="1"/>
  <c r="FY44" i="3"/>
  <c r="FZ44" i="3" s="1"/>
  <c r="FY45" i="3"/>
  <c r="FZ45" i="3" s="1"/>
  <c r="FY15" i="3"/>
  <c r="FZ15" i="3" s="1"/>
  <c r="FY47" i="3"/>
  <c r="FZ47" i="3" s="1"/>
  <c r="FY48" i="3"/>
  <c r="FZ48" i="3" s="1"/>
  <c r="FY2" i="3"/>
  <c r="FZ2" i="3" s="1"/>
  <c r="JG3" i="3"/>
  <c r="JG4" i="3"/>
  <c r="JG5" i="3"/>
  <c r="JG6" i="3"/>
  <c r="JG7" i="3"/>
  <c r="JG8" i="3"/>
  <c r="JG9" i="3"/>
  <c r="JG17" i="3"/>
  <c r="JG22" i="3"/>
  <c r="JG14" i="3"/>
  <c r="JG11" i="3"/>
  <c r="JG25" i="3"/>
  <c r="JG26" i="3"/>
  <c r="JG19" i="3"/>
  <c r="JG21" i="3"/>
  <c r="JG27" i="3"/>
  <c r="JG24" i="3"/>
  <c r="JG31" i="3"/>
  <c r="JG35" i="3"/>
  <c r="JG36" i="3"/>
  <c r="JG37" i="3"/>
  <c r="JG38" i="3"/>
  <c r="JG39" i="3"/>
  <c r="JG40" i="3"/>
  <c r="JG41" i="3"/>
  <c r="JG13" i="3"/>
  <c r="JG43" i="3"/>
  <c r="JG44" i="3"/>
  <c r="JG45" i="3"/>
  <c r="JG15" i="3"/>
  <c r="JG47" i="3"/>
  <c r="JG48" i="3"/>
  <c r="JG2" i="3"/>
  <c r="JE3" i="3"/>
  <c r="JE4" i="3"/>
  <c r="JE5" i="3"/>
  <c r="JE6" i="3"/>
  <c r="JE7" i="3"/>
  <c r="JE8" i="3"/>
  <c r="JE9" i="3"/>
  <c r="JE10" i="3"/>
  <c r="JE17" i="3"/>
  <c r="JE18" i="3"/>
  <c r="JE22" i="3"/>
  <c r="JE14" i="3"/>
  <c r="JE11" i="3"/>
  <c r="JE16" i="3"/>
  <c r="JE25" i="3"/>
  <c r="JE26" i="3"/>
  <c r="JE19" i="3"/>
  <c r="JE20" i="3"/>
  <c r="JE21" i="3"/>
  <c r="JE23" i="3"/>
  <c r="JE24" i="3"/>
  <c r="JE31" i="3"/>
  <c r="JE35" i="3"/>
  <c r="JE37" i="3"/>
  <c r="JE38" i="3"/>
  <c r="JE39" i="3"/>
  <c r="JE40" i="3"/>
  <c r="JE41" i="3"/>
  <c r="JE13" i="3"/>
  <c r="JE43" i="3"/>
  <c r="JE44" i="3"/>
  <c r="JE45" i="3"/>
  <c r="JE15" i="3"/>
  <c r="JE47" i="3"/>
  <c r="JE48" i="3"/>
  <c r="JE2" i="3"/>
  <c r="JB3" i="3"/>
  <c r="JB4" i="3"/>
  <c r="JB5" i="3"/>
  <c r="JB6" i="3"/>
  <c r="JB7" i="3"/>
  <c r="JB8" i="3"/>
  <c r="JB9" i="3"/>
  <c r="JB10" i="3"/>
  <c r="JB17" i="3"/>
  <c r="JB18" i="3"/>
  <c r="JB22" i="3"/>
  <c r="JB14" i="3"/>
  <c r="JB11" i="3"/>
  <c r="JB16" i="3"/>
  <c r="JB25" i="3"/>
  <c r="JB26" i="3"/>
  <c r="JB19" i="3"/>
  <c r="JB20" i="3"/>
  <c r="JB21" i="3"/>
  <c r="JB27" i="3"/>
  <c r="JB23" i="3"/>
  <c r="JB24" i="3"/>
  <c r="JB31" i="3"/>
  <c r="JB35" i="3"/>
  <c r="JB36" i="3"/>
  <c r="JB37" i="3"/>
  <c r="JB38" i="3"/>
  <c r="JB39" i="3"/>
  <c r="JB40" i="3"/>
  <c r="JB41" i="3"/>
  <c r="JB13" i="3"/>
  <c r="JB43" i="3"/>
  <c r="JB44" i="3"/>
  <c r="JB45" i="3"/>
  <c r="JB15" i="3"/>
  <c r="JB47" i="3"/>
  <c r="JB48" i="3"/>
  <c r="JB2" i="3"/>
  <c r="IY3" i="3"/>
  <c r="IY4" i="3"/>
  <c r="IY5" i="3"/>
  <c r="IY6" i="3"/>
  <c r="IY7" i="3"/>
  <c r="IY8" i="3"/>
  <c r="IY9" i="3"/>
  <c r="IY10" i="3"/>
  <c r="IY17" i="3"/>
  <c r="IY18" i="3"/>
  <c r="IY22" i="3"/>
  <c r="IY14" i="3"/>
  <c r="IY11" i="3"/>
  <c r="IY16" i="3"/>
  <c r="IY25" i="3"/>
  <c r="IY26" i="3"/>
  <c r="IY19" i="3"/>
  <c r="IY20" i="3"/>
  <c r="IY21" i="3"/>
  <c r="IY27" i="3"/>
  <c r="IY23" i="3"/>
  <c r="IY24" i="3"/>
  <c r="IY31" i="3"/>
  <c r="IY35" i="3"/>
  <c r="IY36" i="3"/>
  <c r="IY37" i="3"/>
  <c r="IY38" i="3"/>
  <c r="IY39" i="3"/>
  <c r="IY40" i="3"/>
  <c r="IY41" i="3"/>
  <c r="IY13" i="3"/>
  <c r="IY43" i="3"/>
  <c r="IY44" i="3"/>
  <c r="IY45" i="3"/>
  <c r="IY15" i="3"/>
  <c r="IY47" i="3"/>
  <c r="IY48" i="3"/>
  <c r="IY2" i="3"/>
  <c r="IV3" i="3"/>
  <c r="IV4" i="3"/>
  <c r="IV5" i="3"/>
  <c r="IV6" i="3"/>
  <c r="IV7" i="3"/>
  <c r="IV8" i="3"/>
  <c r="IV9" i="3"/>
  <c r="IV10" i="3"/>
  <c r="IV17" i="3"/>
  <c r="IV18" i="3"/>
  <c r="IV22" i="3"/>
  <c r="IV14" i="3"/>
  <c r="IV11" i="3"/>
  <c r="IV16" i="3"/>
  <c r="IV25" i="3"/>
  <c r="IV26" i="3"/>
  <c r="IV19" i="3"/>
  <c r="IV20" i="3"/>
  <c r="IV21" i="3"/>
  <c r="IV27" i="3"/>
  <c r="IV23" i="3"/>
  <c r="IV24" i="3"/>
  <c r="IV31" i="3"/>
  <c r="IV35" i="3"/>
  <c r="IV36" i="3"/>
  <c r="IV37" i="3"/>
  <c r="IV38" i="3"/>
  <c r="IV39" i="3"/>
  <c r="IV40" i="3"/>
  <c r="IV41" i="3"/>
  <c r="IV13" i="3"/>
  <c r="IV43" i="3"/>
  <c r="IV44" i="3"/>
  <c r="IV45" i="3"/>
  <c r="IV15" i="3"/>
  <c r="IV47" i="3"/>
  <c r="IV48" i="3"/>
  <c r="IV2" i="3"/>
  <c r="IR3" i="3"/>
  <c r="IR4" i="3"/>
  <c r="IR5" i="3"/>
  <c r="IR6" i="3"/>
  <c r="IR7" i="3"/>
  <c r="IR8" i="3"/>
  <c r="IR9" i="3"/>
  <c r="IR10" i="3"/>
  <c r="IR17" i="3"/>
  <c r="IR18" i="3"/>
  <c r="IR22" i="3"/>
  <c r="IR14" i="3"/>
  <c r="IR11" i="3"/>
  <c r="IR16" i="3"/>
  <c r="IR25" i="3"/>
  <c r="IR19" i="3"/>
  <c r="IR20" i="3"/>
  <c r="IR21" i="3"/>
  <c r="IR23" i="3"/>
  <c r="IR24" i="3"/>
  <c r="IR31" i="3"/>
  <c r="IR35" i="3"/>
  <c r="IR36" i="3"/>
  <c r="IR37" i="3"/>
  <c r="IR38" i="3"/>
  <c r="IR39" i="3"/>
  <c r="IR40" i="3"/>
  <c r="IR41" i="3"/>
  <c r="IR13" i="3"/>
  <c r="IR43" i="3"/>
  <c r="IR44" i="3"/>
  <c r="IR45" i="3"/>
  <c r="IR15" i="3"/>
  <c r="IR47" i="3"/>
  <c r="IR48" i="3"/>
  <c r="IR2" i="3"/>
  <c r="ID2" i="3"/>
  <c r="ID3" i="3"/>
  <c r="ID4" i="3"/>
  <c r="ID5" i="3"/>
  <c r="ID6" i="3"/>
  <c r="ID7" i="3"/>
  <c r="ID8" i="3"/>
  <c r="ID9" i="3"/>
  <c r="ID10" i="3"/>
  <c r="ID17" i="3"/>
  <c r="ID11" i="3"/>
  <c r="ID25" i="3"/>
  <c r="ID26" i="3"/>
  <c r="ID19" i="3"/>
  <c r="ID20" i="3"/>
  <c r="ID21" i="3"/>
  <c r="ID27" i="3"/>
  <c r="ID23" i="3"/>
  <c r="ID24" i="3"/>
  <c r="ID31" i="3"/>
  <c r="ID35" i="3"/>
  <c r="ID36" i="3"/>
  <c r="ID37" i="3"/>
  <c r="ID38" i="3"/>
  <c r="ID39" i="3"/>
  <c r="ID40" i="3"/>
  <c r="ID41" i="3"/>
  <c r="ID13" i="3"/>
  <c r="ID43" i="3"/>
  <c r="ID44" i="3"/>
  <c r="ID45" i="3"/>
  <c r="ID15" i="3"/>
  <c r="ID47" i="3"/>
  <c r="ID48" i="3"/>
  <c r="IB3" i="3"/>
  <c r="IB4" i="3"/>
  <c r="IB5" i="3"/>
  <c r="IB6" i="3"/>
  <c r="IB7" i="3"/>
  <c r="IB8" i="3"/>
  <c r="IB9" i="3"/>
  <c r="IB10" i="3"/>
  <c r="IB17" i="3"/>
  <c r="IB22" i="3"/>
  <c r="IB14" i="3"/>
  <c r="IB11" i="3"/>
  <c r="IB16" i="3"/>
  <c r="IB25" i="3"/>
  <c r="IB26" i="3"/>
  <c r="IB19" i="3"/>
  <c r="IB20" i="3"/>
  <c r="IB21" i="3"/>
  <c r="IB27" i="3"/>
  <c r="IB23" i="3"/>
  <c r="IB24" i="3"/>
  <c r="IB31" i="3"/>
  <c r="IB35" i="3"/>
  <c r="IB36" i="3"/>
  <c r="IB37" i="3"/>
  <c r="IB38" i="3"/>
  <c r="IB39" i="3"/>
  <c r="IB40" i="3"/>
  <c r="IB41" i="3"/>
  <c r="IB13" i="3"/>
  <c r="IB43" i="3"/>
  <c r="IB44" i="3"/>
  <c r="IB45" i="3"/>
  <c r="IB15" i="3"/>
  <c r="IB47" i="3"/>
  <c r="IB48" i="3"/>
  <c r="IB2" i="3"/>
  <c r="HT2" i="3"/>
  <c r="HT3" i="3"/>
  <c r="HT4" i="3"/>
  <c r="HT5" i="3"/>
  <c r="HT6" i="3"/>
  <c r="HT7" i="3"/>
  <c r="HT8" i="3"/>
  <c r="HT9" i="3"/>
  <c r="HT10" i="3"/>
  <c r="HT17" i="3"/>
  <c r="HT18" i="3"/>
  <c r="HT22" i="3"/>
  <c r="HT14" i="3"/>
  <c r="HT11" i="3"/>
  <c r="HT16" i="3"/>
  <c r="HT19" i="3"/>
  <c r="HT20" i="3"/>
  <c r="HT21" i="3"/>
  <c r="HT27" i="3"/>
  <c r="HT23" i="3"/>
  <c r="HT24" i="3"/>
  <c r="HT31" i="3"/>
  <c r="HT35" i="3"/>
  <c r="HT36" i="3"/>
  <c r="HT37" i="3"/>
  <c r="HT38" i="3"/>
  <c r="HT39" i="3"/>
  <c r="HT40" i="3"/>
  <c r="HT41" i="3"/>
  <c r="HT13" i="3"/>
  <c r="HT43" i="3"/>
  <c r="HT44" i="3"/>
  <c r="HT45" i="3"/>
  <c r="HT15" i="3"/>
  <c r="HT47" i="3"/>
  <c r="HT48" i="3"/>
  <c r="HR3" i="3"/>
  <c r="HR4" i="3"/>
  <c r="HR5" i="3"/>
  <c r="HR6" i="3"/>
  <c r="HR7" i="3"/>
  <c r="HR8" i="3"/>
  <c r="HR9" i="3"/>
  <c r="HR10" i="3"/>
  <c r="HR17" i="3"/>
  <c r="HR18" i="3"/>
  <c r="HR22" i="3"/>
  <c r="HR14" i="3"/>
  <c r="HR11" i="3"/>
  <c r="HR16" i="3"/>
  <c r="HR25" i="3"/>
  <c r="HR26" i="3"/>
  <c r="HR19" i="3"/>
  <c r="HR20" i="3"/>
  <c r="HR21" i="3"/>
  <c r="HR27" i="3"/>
  <c r="HR23" i="3"/>
  <c r="HR24" i="3"/>
  <c r="HR31" i="3"/>
  <c r="HR35" i="3"/>
  <c r="HR36" i="3"/>
  <c r="HR37" i="3"/>
  <c r="HR38" i="3"/>
  <c r="HR39" i="3"/>
  <c r="HR41" i="3"/>
  <c r="HR13" i="3"/>
  <c r="HR43" i="3"/>
  <c r="HR44" i="3"/>
  <c r="HR45" i="3"/>
  <c r="HR15" i="3"/>
  <c r="HR47" i="3"/>
  <c r="HR48" i="3"/>
  <c r="HR2" i="3"/>
  <c r="HP3" i="3"/>
  <c r="HP4" i="3"/>
  <c r="HP5" i="3"/>
  <c r="HP6" i="3"/>
  <c r="HP7" i="3"/>
  <c r="HP8" i="3"/>
  <c r="HP9" i="3"/>
  <c r="HP10" i="3"/>
  <c r="HP17" i="3"/>
  <c r="HP22" i="3"/>
  <c r="HP14" i="3"/>
  <c r="HP11" i="3"/>
  <c r="HP16" i="3"/>
  <c r="HP25" i="3"/>
  <c r="HP26" i="3"/>
  <c r="HP19" i="3"/>
  <c r="HP20" i="3"/>
  <c r="HP21" i="3"/>
  <c r="HP23" i="3"/>
  <c r="HP24" i="3"/>
  <c r="HP31" i="3"/>
  <c r="HP35" i="3"/>
  <c r="HP36" i="3"/>
  <c r="HP37" i="3"/>
  <c r="HP38" i="3"/>
  <c r="HP39" i="3"/>
  <c r="HP40" i="3"/>
  <c r="HP41" i="3"/>
  <c r="HP13" i="3"/>
  <c r="HP43" i="3"/>
  <c r="HP44" i="3"/>
  <c r="HP45" i="3"/>
  <c r="HP15" i="3"/>
  <c r="HP47" i="3"/>
  <c r="HP48" i="3"/>
  <c r="HP2" i="3"/>
  <c r="HN3" i="3"/>
  <c r="HN4" i="3"/>
  <c r="HN5" i="3"/>
  <c r="HN6" i="3"/>
  <c r="HN7" i="3"/>
  <c r="HN8" i="3"/>
  <c r="HN9" i="3"/>
  <c r="HN10" i="3"/>
  <c r="HN17" i="3"/>
  <c r="HN18" i="3"/>
  <c r="HN22" i="3"/>
  <c r="HN14" i="3"/>
  <c r="HN11" i="3"/>
  <c r="HN16" i="3"/>
  <c r="HN25" i="3"/>
  <c r="HN26" i="3"/>
  <c r="HN19" i="3"/>
  <c r="HN20" i="3"/>
  <c r="HN21" i="3"/>
  <c r="HN23" i="3"/>
  <c r="HN24" i="3"/>
  <c r="HN31" i="3"/>
  <c r="HN35" i="3"/>
  <c r="HN36" i="3"/>
  <c r="HN37" i="3"/>
  <c r="HN38" i="3"/>
  <c r="HN39" i="3"/>
  <c r="HN40" i="3"/>
  <c r="HN41" i="3"/>
  <c r="HN13" i="3"/>
  <c r="HN43" i="3"/>
  <c r="HN44" i="3"/>
  <c r="HN45" i="3"/>
  <c r="HN15" i="3"/>
  <c r="HN47" i="3"/>
  <c r="HN48" i="3"/>
  <c r="HN2" i="3"/>
  <c r="HE3" i="3"/>
  <c r="HE5" i="3"/>
  <c r="HE6" i="3"/>
  <c r="HE7" i="3"/>
  <c r="HE9" i="3"/>
  <c r="HE10" i="3"/>
  <c r="HE22" i="3"/>
  <c r="HE14" i="3"/>
  <c r="HE11" i="3"/>
  <c r="HE16" i="3"/>
  <c r="HE25" i="3"/>
  <c r="HE26" i="3"/>
  <c r="HE19" i="3"/>
  <c r="HE20" i="3"/>
  <c r="HE21" i="3"/>
  <c r="HE23" i="3"/>
  <c r="HE24" i="3"/>
  <c r="HE31" i="3"/>
  <c r="HE35" i="3"/>
  <c r="HE36" i="3"/>
  <c r="HE37" i="3"/>
  <c r="HE39" i="3"/>
  <c r="HE40" i="3"/>
  <c r="HE41" i="3"/>
  <c r="HE13" i="3"/>
  <c r="HE43" i="3"/>
  <c r="HE44" i="3"/>
  <c r="HE45" i="3"/>
  <c r="HE15" i="3"/>
  <c r="HE47" i="3"/>
  <c r="HE48" i="3"/>
  <c r="HC3" i="3"/>
  <c r="HC5" i="3"/>
  <c r="HC6" i="3"/>
  <c r="HC7" i="3"/>
  <c r="HC8" i="3"/>
  <c r="HC9" i="3"/>
  <c r="HC10" i="3"/>
  <c r="HC17" i="3"/>
  <c r="HC22" i="3"/>
  <c r="HC14" i="3"/>
  <c r="HC11" i="3"/>
  <c r="HC25" i="3"/>
  <c r="HC26" i="3"/>
  <c r="HC19" i="3"/>
  <c r="HC20" i="3"/>
  <c r="HC27" i="3"/>
  <c r="HC23" i="3"/>
  <c r="HC31" i="3"/>
  <c r="HC35" i="3"/>
  <c r="HC36" i="3"/>
  <c r="HC37" i="3"/>
  <c r="HC38" i="3"/>
  <c r="HC39" i="3"/>
  <c r="HC40" i="3"/>
  <c r="HC41" i="3"/>
  <c r="HC13" i="3"/>
  <c r="HC43" i="3"/>
  <c r="HC44" i="3"/>
  <c r="HC45" i="3"/>
  <c r="HC15" i="3"/>
  <c r="HC47" i="3"/>
  <c r="HC48" i="3"/>
  <c r="HE2" i="3"/>
  <c r="HC2" i="3"/>
  <c r="HA3" i="3"/>
  <c r="HA4" i="3"/>
  <c r="HA5" i="3"/>
  <c r="HA6" i="3"/>
  <c r="HA7" i="3"/>
  <c r="HA8" i="3"/>
  <c r="HA9" i="3"/>
  <c r="HA10" i="3"/>
  <c r="HA17" i="3"/>
  <c r="HA18" i="3"/>
  <c r="HA22" i="3"/>
  <c r="HA14" i="3"/>
  <c r="HA11" i="3"/>
  <c r="HA16" i="3"/>
  <c r="HA25" i="3"/>
  <c r="HA26" i="3"/>
  <c r="HA19" i="3"/>
  <c r="HA20" i="3"/>
  <c r="HA21" i="3"/>
  <c r="HA27" i="3"/>
  <c r="HA23" i="3"/>
  <c r="HA24" i="3"/>
  <c r="HA31" i="3"/>
  <c r="HA35" i="3"/>
  <c r="HA36" i="3"/>
  <c r="HA37" i="3"/>
  <c r="HA38" i="3"/>
  <c r="HA39" i="3"/>
  <c r="HA40" i="3"/>
  <c r="HA41" i="3"/>
  <c r="HA13" i="3"/>
  <c r="HA43" i="3"/>
  <c r="HA44" i="3"/>
  <c r="HA45" i="3"/>
  <c r="HA15" i="3"/>
  <c r="HA47" i="3"/>
  <c r="HA48" i="3"/>
  <c r="HA2" i="3"/>
  <c r="GS3" i="3"/>
  <c r="GS4" i="3"/>
  <c r="GS5" i="3"/>
  <c r="GS6" i="3"/>
  <c r="GS7" i="3"/>
  <c r="GS8" i="3"/>
  <c r="GS9" i="3"/>
  <c r="GS10" i="3"/>
  <c r="GS17" i="3"/>
  <c r="GS22" i="3"/>
  <c r="GS14" i="3"/>
  <c r="GS11" i="3"/>
  <c r="GS16" i="3"/>
  <c r="GS25" i="3"/>
  <c r="GS26" i="3"/>
  <c r="GS19" i="3"/>
  <c r="GS20" i="3"/>
  <c r="GS21" i="3"/>
  <c r="GS27" i="3"/>
  <c r="GS23" i="3"/>
  <c r="GS24" i="3"/>
  <c r="GS31" i="3"/>
  <c r="GS35" i="3"/>
  <c r="GS36" i="3"/>
  <c r="GS37" i="3"/>
  <c r="GS38" i="3"/>
  <c r="GS40" i="3"/>
  <c r="GS41" i="3"/>
  <c r="GS13" i="3"/>
  <c r="GS43" i="3"/>
  <c r="GS44" i="3"/>
  <c r="GS45" i="3"/>
  <c r="GS15" i="3"/>
  <c r="GS47" i="3"/>
  <c r="GS48" i="3"/>
  <c r="GS2" i="3"/>
  <c r="GN7" i="3"/>
  <c r="GN8" i="3"/>
  <c r="GN9" i="3"/>
  <c r="GN10" i="3"/>
  <c r="GN17" i="3"/>
  <c r="GN18" i="3"/>
  <c r="GN22" i="3"/>
  <c r="GN11" i="3"/>
  <c r="GN16" i="3"/>
  <c r="GN25" i="3"/>
  <c r="GN26" i="3"/>
  <c r="GN19" i="3"/>
  <c r="GN20" i="3"/>
  <c r="GN21" i="3"/>
  <c r="GN27" i="3"/>
  <c r="GN23" i="3"/>
  <c r="GN24" i="3"/>
  <c r="GN31" i="3"/>
  <c r="GN35" i="3"/>
  <c r="GN36" i="3"/>
  <c r="GN37" i="3"/>
  <c r="GN38" i="3"/>
  <c r="GN39" i="3"/>
  <c r="GN40" i="3"/>
  <c r="GN41" i="3"/>
  <c r="GN13" i="3"/>
  <c r="GN43" i="3"/>
  <c r="GN44" i="3"/>
  <c r="GN45" i="3"/>
  <c r="GN15" i="3"/>
  <c r="GN47" i="3"/>
  <c r="GN48" i="3"/>
  <c r="GN3" i="3"/>
  <c r="GN4" i="3"/>
  <c r="GN5" i="3"/>
  <c r="GN6" i="3"/>
  <c r="GN2" i="3"/>
  <c r="GK3" i="3"/>
  <c r="GK4" i="3"/>
  <c r="GK5" i="3"/>
  <c r="GK6" i="3"/>
  <c r="GK7" i="3"/>
  <c r="GK8" i="3"/>
  <c r="GK9" i="3"/>
  <c r="GK10" i="3"/>
  <c r="GK17" i="3"/>
  <c r="GK18" i="3"/>
  <c r="GK22" i="3"/>
  <c r="GK14" i="3"/>
  <c r="GK11" i="3"/>
  <c r="GK16" i="3"/>
  <c r="GK25" i="3"/>
  <c r="GK26" i="3"/>
  <c r="GK19" i="3"/>
  <c r="GK20" i="3"/>
  <c r="GK21" i="3"/>
  <c r="GK27" i="3"/>
  <c r="GK23" i="3"/>
  <c r="GK24" i="3"/>
  <c r="GK31" i="3"/>
  <c r="GK35" i="3"/>
  <c r="GK36" i="3"/>
  <c r="GK37" i="3"/>
  <c r="GK38" i="3"/>
  <c r="GK39" i="3"/>
  <c r="GK40" i="3"/>
  <c r="GK41" i="3"/>
  <c r="GK13" i="3"/>
  <c r="GK43" i="3"/>
  <c r="GK44" i="3"/>
  <c r="GK45" i="3"/>
  <c r="GK15" i="3"/>
  <c r="GK47" i="3"/>
  <c r="GK48" i="3"/>
  <c r="GK2" i="3"/>
  <c r="GH3" i="3"/>
  <c r="GH4" i="3"/>
  <c r="GH5" i="3"/>
  <c r="GH6" i="3"/>
  <c r="GH7" i="3"/>
  <c r="GH8" i="3"/>
  <c r="GH9" i="3"/>
  <c r="GH10" i="3"/>
  <c r="GH17" i="3"/>
  <c r="GH18" i="3"/>
  <c r="GH22" i="3"/>
  <c r="GH14" i="3"/>
  <c r="GH11" i="3"/>
  <c r="GH25" i="3"/>
  <c r="GH26" i="3"/>
  <c r="GH19" i="3"/>
  <c r="GH20" i="3"/>
  <c r="GH21" i="3"/>
  <c r="GH27" i="3"/>
  <c r="GH23" i="3"/>
  <c r="GH24" i="3"/>
  <c r="GH31" i="3"/>
  <c r="GH35" i="3"/>
  <c r="GH36" i="3"/>
  <c r="GH37" i="3"/>
  <c r="GH38" i="3"/>
  <c r="GH39" i="3"/>
  <c r="GH40" i="3"/>
  <c r="GH41" i="3"/>
  <c r="GH13" i="3"/>
  <c r="GH43" i="3"/>
  <c r="GH44" i="3"/>
  <c r="GH45" i="3"/>
  <c r="GH15" i="3"/>
  <c r="GH47" i="3"/>
  <c r="GH48" i="3"/>
  <c r="GH2" i="3"/>
  <c r="GF3" i="3"/>
  <c r="GF4" i="3"/>
  <c r="GF5" i="3"/>
  <c r="GF6" i="3"/>
  <c r="GF7" i="3"/>
  <c r="GF9" i="3"/>
  <c r="GF10" i="3"/>
  <c r="GF17" i="3"/>
  <c r="GF18" i="3"/>
  <c r="GF22" i="3"/>
  <c r="GF14" i="3"/>
  <c r="GF11" i="3"/>
  <c r="GF16" i="3"/>
  <c r="GF25" i="3"/>
  <c r="GF26" i="3"/>
  <c r="GF19" i="3"/>
  <c r="GF20" i="3"/>
  <c r="GF21" i="3"/>
  <c r="GF27" i="3"/>
  <c r="GF23" i="3"/>
  <c r="GF24" i="3"/>
  <c r="GF31" i="3"/>
  <c r="GF35" i="3"/>
  <c r="GF36" i="3"/>
  <c r="GF37" i="3"/>
  <c r="GF38" i="3"/>
  <c r="GF39" i="3"/>
  <c r="GF40" i="3"/>
  <c r="GF41" i="3"/>
  <c r="GF13" i="3"/>
  <c r="GF43" i="3"/>
  <c r="GF44" i="3"/>
  <c r="GF45" i="3"/>
  <c r="GF15" i="3"/>
  <c r="GF47" i="3"/>
  <c r="GF48" i="3"/>
  <c r="GF2" i="3"/>
  <c r="GD3" i="3"/>
  <c r="GD4" i="3"/>
  <c r="GD6" i="3"/>
  <c r="GD7" i="3"/>
  <c r="GD8" i="3"/>
  <c r="GD9" i="3"/>
  <c r="GD10" i="3"/>
  <c r="GD17" i="3"/>
  <c r="GD18" i="3"/>
  <c r="GD22" i="3"/>
  <c r="GD14" i="3"/>
  <c r="GD11" i="3"/>
  <c r="GD16" i="3"/>
  <c r="GD25" i="3"/>
  <c r="GD26" i="3"/>
  <c r="GD19" i="3"/>
  <c r="GD20" i="3"/>
  <c r="GD21" i="3"/>
  <c r="GD27" i="3"/>
  <c r="GD23" i="3"/>
  <c r="GD24" i="3"/>
  <c r="GD31" i="3"/>
  <c r="GD35" i="3"/>
  <c r="GD36" i="3"/>
  <c r="GD37" i="3"/>
  <c r="GD38" i="3"/>
  <c r="GD39" i="3"/>
  <c r="GD40" i="3"/>
  <c r="GD41" i="3"/>
  <c r="GD13" i="3"/>
  <c r="GD43" i="3"/>
  <c r="GD44" i="3"/>
  <c r="GD45" i="3"/>
  <c r="GD15" i="3"/>
  <c r="GD47" i="3"/>
  <c r="GD48" i="3"/>
  <c r="GD2" i="3"/>
  <c r="GB3" i="3"/>
  <c r="GB5" i="3"/>
  <c r="GB6" i="3"/>
  <c r="GB7" i="3"/>
  <c r="GB8" i="3"/>
  <c r="GB9" i="3"/>
  <c r="GB17" i="3"/>
  <c r="GB18" i="3"/>
  <c r="GB22" i="3"/>
  <c r="GB11" i="3"/>
  <c r="GB16" i="3"/>
  <c r="GB26" i="3"/>
  <c r="GB19" i="3"/>
  <c r="GB20" i="3"/>
  <c r="GB21" i="3"/>
  <c r="GB27" i="3"/>
  <c r="GB24" i="3"/>
  <c r="GB31" i="3"/>
  <c r="GB35" i="3"/>
  <c r="GB36" i="3"/>
  <c r="GB37" i="3"/>
  <c r="GB38" i="3"/>
  <c r="GB39" i="3"/>
  <c r="GB40" i="3"/>
  <c r="GB41" i="3"/>
  <c r="GB13" i="3"/>
  <c r="GB43" i="3"/>
  <c r="GB44" i="3"/>
  <c r="GB45" i="3"/>
  <c r="GB15" i="3"/>
  <c r="GB47" i="3"/>
  <c r="GB48" i="3"/>
  <c r="GB2" i="3"/>
  <c r="FZ3" i="3"/>
  <c r="FZ14" i="3"/>
  <c r="FZ24" i="3"/>
  <c r="FV3" i="3"/>
  <c r="FV4" i="3"/>
  <c r="FV5" i="3"/>
  <c r="FV6" i="3"/>
  <c r="FV7" i="3"/>
  <c r="FV8" i="3"/>
  <c r="FV9" i="3"/>
  <c r="FV10" i="3"/>
  <c r="FV17" i="3"/>
  <c r="FV18" i="3"/>
  <c r="FV22" i="3"/>
  <c r="FV14" i="3"/>
  <c r="FV11" i="3"/>
  <c r="FV16" i="3"/>
  <c r="FV25" i="3"/>
  <c r="FV26" i="3"/>
  <c r="FV19" i="3"/>
  <c r="FV20" i="3"/>
  <c r="FV21" i="3"/>
  <c r="FV27" i="3"/>
  <c r="FV23" i="3"/>
  <c r="FV24" i="3"/>
  <c r="FV31" i="3"/>
  <c r="FV35" i="3"/>
  <c r="FV36" i="3"/>
  <c r="FV37" i="3"/>
  <c r="FV38" i="3"/>
  <c r="FV39" i="3"/>
  <c r="FV40" i="3"/>
  <c r="FV41" i="3"/>
  <c r="FV13" i="3"/>
  <c r="FV43" i="3"/>
  <c r="FV44" i="3"/>
  <c r="FV45" i="3"/>
  <c r="FV15" i="3"/>
  <c r="FV47" i="3"/>
  <c r="FV48" i="3"/>
  <c r="FV2" i="3"/>
  <c r="FS3" i="3"/>
  <c r="FS4" i="3"/>
  <c r="FS5" i="3"/>
  <c r="FS6" i="3"/>
  <c r="FS7" i="3"/>
  <c r="FS8" i="3"/>
  <c r="FS9" i="3"/>
  <c r="FS10" i="3"/>
  <c r="FS17" i="3"/>
  <c r="FS18" i="3"/>
  <c r="FS22" i="3"/>
  <c r="FS14" i="3"/>
  <c r="FS11" i="3"/>
  <c r="FS16" i="3"/>
  <c r="FS25" i="3"/>
  <c r="FS26" i="3"/>
  <c r="FS19" i="3"/>
  <c r="FS21" i="3"/>
  <c r="FS27" i="3"/>
  <c r="FS23" i="3"/>
  <c r="FS24" i="3"/>
  <c r="FS31" i="3"/>
  <c r="FS35" i="3"/>
  <c r="FS36" i="3"/>
  <c r="FS37" i="3"/>
  <c r="FS38" i="3"/>
  <c r="FS39" i="3"/>
  <c r="FS40" i="3"/>
  <c r="FS41" i="3"/>
  <c r="FS13" i="3"/>
  <c r="FS43" i="3"/>
  <c r="FS44" i="3"/>
  <c r="FS45" i="3"/>
  <c r="FS15" i="3"/>
  <c r="FS47" i="3"/>
  <c r="FS48" i="3"/>
  <c r="FS2" i="3"/>
  <c r="FO3" i="3"/>
  <c r="FO4" i="3"/>
  <c r="FO5" i="3"/>
  <c r="FO6" i="3"/>
  <c r="FO7" i="3"/>
  <c r="FO8" i="3"/>
  <c r="FO9" i="3"/>
  <c r="FO10" i="3"/>
  <c r="FO17" i="3"/>
  <c r="FO18" i="3"/>
  <c r="FO22" i="3"/>
  <c r="FO14" i="3"/>
  <c r="FO11" i="3"/>
  <c r="FO16" i="3"/>
  <c r="FO25" i="3"/>
  <c r="FO26" i="3"/>
  <c r="FO19" i="3"/>
  <c r="FO20" i="3"/>
  <c r="FO21" i="3"/>
  <c r="FO27" i="3"/>
  <c r="FO23" i="3"/>
  <c r="FO24" i="3"/>
  <c r="FO31" i="3"/>
  <c r="FO36" i="3"/>
  <c r="FO37" i="3"/>
  <c r="FO38" i="3"/>
  <c r="FO39" i="3"/>
  <c r="FO40" i="3"/>
  <c r="FO41" i="3"/>
  <c r="FO13" i="3"/>
  <c r="FO43" i="3"/>
  <c r="FO44" i="3"/>
  <c r="FO45" i="3"/>
  <c r="FO15" i="3"/>
  <c r="FO47" i="3"/>
  <c r="FO48" i="3"/>
  <c r="FO2" i="3"/>
  <c r="FB3" i="3"/>
  <c r="FB4" i="3"/>
  <c r="FB5" i="3"/>
  <c r="FB6" i="3"/>
  <c r="FB7" i="3"/>
  <c r="FB8" i="3"/>
  <c r="FB9" i="3"/>
  <c r="FB10" i="3"/>
  <c r="FB17" i="3"/>
  <c r="FB18" i="3"/>
  <c r="FB22" i="3"/>
  <c r="FB14" i="3"/>
  <c r="FB11" i="3"/>
  <c r="FB16" i="3"/>
  <c r="FB25" i="3"/>
  <c r="FB26" i="3"/>
  <c r="FB19" i="3"/>
  <c r="FB20" i="3"/>
  <c r="FB21" i="3"/>
  <c r="FB27" i="3"/>
  <c r="FB23" i="3"/>
  <c r="FB24" i="3"/>
  <c r="FB31" i="3"/>
  <c r="FB35" i="3"/>
  <c r="FB36" i="3"/>
  <c r="FB37" i="3"/>
  <c r="FB38" i="3"/>
  <c r="FB39" i="3"/>
  <c r="FB40" i="3"/>
  <c r="FB41" i="3"/>
  <c r="FB13" i="3"/>
  <c r="FB43" i="3"/>
  <c r="FB44" i="3"/>
  <c r="FB45" i="3"/>
  <c r="FB15" i="3"/>
  <c r="FB47" i="3"/>
  <c r="FB48" i="3"/>
  <c r="FB2" i="3"/>
  <c r="HZ5" i="3"/>
  <c r="HZ6" i="3"/>
  <c r="HZ7" i="3"/>
  <c r="HZ8" i="3"/>
  <c r="HZ9" i="3"/>
  <c r="HZ10" i="3"/>
  <c r="HZ17" i="3"/>
  <c r="HZ18" i="3"/>
  <c r="HZ22" i="3"/>
  <c r="HZ14" i="3"/>
  <c r="HZ11" i="3"/>
  <c r="HZ16" i="3"/>
  <c r="HZ25" i="3"/>
  <c r="HZ26" i="3"/>
  <c r="HZ19" i="3"/>
  <c r="HZ20" i="3"/>
  <c r="HZ21" i="3"/>
  <c r="HZ27" i="3"/>
  <c r="HZ23" i="3"/>
  <c r="HZ24" i="3"/>
  <c r="HZ31" i="3"/>
  <c r="HZ35" i="3"/>
  <c r="HZ36" i="3"/>
  <c r="HZ37" i="3"/>
  <c r="HZ38" i="3"/>
  <c r="HZ39" i="3"/>
  <c r="HZ40" i="3"/>
  <c r="HZ41" i="3"/>
  <c r="HZ13" i="3"/>
  <c r="HZ43" i="3"/>
  <c r="HZ44" i="3"/>
  <c r="HZ45" i="3"/>
  <c r="HZ15" i="3"/>
  <c r="HZ47" i="3"/>
  <c r="HZ48" i="3"/>
  <c r="HZ3" i="3"/>
  <c r="HZ4" i="3"/>
  <c r="HZ2" i="3"/>
  <c r="CA38" i="3" l="1"/>
  <c r="CA34" i="3"/>
  <c r="CA33" i="3"/>
  <c r="CA29" i="3"/>
  <c r="CA28" i="3"/>
  <c r="CA20" i="3"/>
  <c r="CA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WENTA Justine</author>
  </authors>
  <commentList>
    <comment ref="HW2" authorId="0" shapeId="0" xr:uid="{07910720-1D22-48C4-B245-547C2990FC45}">
      <text>
        <r>
          <rPr>
            <b/>
            <sz val="9"/>
            <color rgb="FF000000"/>
            <rFont val="Tahoma"/>
            <family val="2"/>
          </rPr>
          <t>WENTA Justine:</t>
        </r>
        <r>
          <rPr>
            <sz val="9"/>
            <color rgb="FF000000"/>
            <rFont val="Tahoma"/>
            <family val="2"/>
          </rPr>
          <t xml:space="preserve">
</t>
        </r>
        <r>
          <rPr>
            <sz val="9"/>
            <color rgb="FF000000"/>
            <rFont val="Tahoma"/>
            <family val="2"/>
          </rPr>
          <t xml:space="preserve">Pas de méthodes spécifiques appliquées mais du coup Yes </t>
        </r>
      </text>
    </comment>
  </commentList>
</comments>
</file>

<file path=xl/sharedStrings.xml><?xml version="1.0" encoding="utf-8"?>
<sst xmlns="http://schemas.openxmlformats.org/spreadsheetml/2006/main" count="8500" uniqueCount="844">
  <si>
    <t>Intervention</t>
  </si>
  <si>
    <t>Comparator</t>
  </si>
  <si>
    <t>Index_ID</t>
  </si>
  <si>
    <t>Index_Title</t>
  </si>
  <si>
    <t>Index_First_Author</t>
  </si>
  <si>
    <t>Index_Journal</t>
  </si>
  <si>
    <t>Index_Publication_Date</t>
  </si>
  <si>
    <t>DOI</t>
  </si>
  <si>
    <t xml:space="preserve">Epidemio_Biostat_Among_Authors </t>
  </si>
  <si>
    <t>Cochrane_review</t>
  </si>
  <si>
    <t>Country</t>
  </si>
  <si>
    <t>Medical_Field</t>
  </si>
  <si>
    <t>Target_Condition</t>
  </si>
  <si>
    <t>Intervention_Precise</t>
  </si>
  <si>
    <t>Comparator_Precise</t>
  </si>
  <si>
    <t>PO_Type</t>
  </si>
  <si>
    <t>PO_Precise</t>
  </si>
  <si>
    <t>PO_Multiple_Number</t>
  </si>
  <si>
    <t>PO_Multiple_Other_Outcomes_Precise</t>
  </si>
  <si>
    <t>PO_Morbidity</t>
  </si>
  <si>
    <t>PO_Mortality</t>
  </si>
  <si>
    <t>PO_ClinicalAssessment</t>
  </si>
  <si>
    <t>PO_PRO</t>
  </si>
  <si>
    <t>PO_LaboratoryTestResult</t>
  </si>
  <si>
    <t>PO_ImagingTestResult</t>
  </si>
  <si>
    <t>PO_OtherCategory</t>
  </si>
  <si>
    <t>PO_OtherCategory_Precise</t>
  </si>
  <si>
    <t>PO_Continuous</t>
  </si>
  <si>
    <t>PO_TimeToEvent</t>
  </si>
  <si>
    <t>PO_Other_MeasurementType</t>
  </si>
  <si>
    <t>PO_Other_MeasurementType_Precise</t>
  </si>
  <si>
    <t>PO_Comments</t>
  </si>
  <si>
    <t>Funding_Type</t>
  </si>
  <si>
    <t>Conflicts_Of_Interest</t>
  </si>
  <si>
    <t>Protocol_Published</t>
  </si>
  <si>
    <t>Protocol_DOI</t>
  </si>
  <si>
    <t>Protocol_Publication_Date</t>
  </si>
  <si>
    <t>Protocol_Registration</t>
  </si>
  <si>
    <t>Protocol_Registration_Date</t>
  </si>
  <si>
    <t>Protocol_On_Prospero</t>
  </si>
  <si>
    <t>Protocole_Prospero_Registration_n</t>
  </si>
  <si>
    <t>Protocole_Other_Registration_n</t>
  </si>
  <si>
    <t>GC_Comments</t>
  </si>
  <si>
    <t>Search_Database_Medline</t>
  </si>
  <si>
    <t>Search_Database_Embase</t>
  </si>
  <si>
    <t>Search_Database_Central</t>
  </si>
  <si>
    <t>Search_Database_GoogleScholar</t>
  </si>
  <si>
    <t>Search_Database_WebOfScience</t>
  </si>
  <si>
    <t>Search_Database_Other</t>
  </si>
  <si>
    <t>Search_Reported_Algorithm</t>
  </si>
  <si>
    <t>Search_Grey_Literature</t>
  </si>
  <si>
    <t>Search_Grey_Literature_CT_gov</t>
  </si>
  <si>
    <t>Search_Grey_Literature_ICTRP</t>
  </si>
  <si>
    <t>Search_Grey_Literature_Other_CT_registries</t>
  </si>
  <si>
    <t>Search_Grey_Literature_Conference_Abstracts</t>
  </si>
  <si>
    <t>Search_Grey_Literature_Another platform</t>
  </si>
  <si>
    <t>Selection_Predefined_Criteria</t>
  </si>
  <si>
    <t>Selection_Search_For_Duplicates</t>
  </si>
  <si>
    <t>Selection_Reasons_For_Exclusion_In_Flowchart</t>
  </si>
  <si>
    <t>Selection_In_Duplicate</t>
  </si>
  <si>
    <t>Extraction_Standardized_Form</t>
  </si>
  <si>
    <t>Extraction_In_Duplicate</t>
  </si>
  <si>
    <t>ROB_Assessment_Reported</t>
  </si>
  <si>
    <t>ROB_In_Duplicate</t>
  </si>
  <si>
    <t>ROB_Cochrane_RoB_Tool_Used_RCT</t>
  </si>
  <si>
    <t>ROB_Cochrane_RoB_Tool_UpToDate</t>
  </si>
  <si>
    <t>ROB_Another_Tool_RCT_Precise</t>
  </si>
  <si>
    <t>ROB_ROBINS_Used_NR_Studies</t>
  </si>
  <si>
    <t>ROB_Another_Tool_NRS_Precise</t>
  </si>
  <si>
    <t>MetaAnalysis_Type</t>
  </si>
  <si>
    <t>MetaAnalysis_Models</t>
  </si>
  <si>
    <t>MetaAnalysis_OtherModels_Precise</t>
  </si>
  <si>
    <t>MetaAnalysis_Comment</t>
  </si>
  <si>
    <t>Heterogeneity_Assessment</t>
  </si>
  <si>
    <t>GRADE_Assessment</t>
  </si>
  <si>
    <t>MC_Comments</t>
  </si>
  <si>
    <t>Index_Screened_References_N</t>
  </si>
  <si>
    <t>Index_Included_Studies_N</t>
  </si>
  <si>
    <t>Index_Last_Search_Date</t>
  </si>
  <si>
    <t>Index_Analyse_Before_Publication</t>
  </si>
  <si>
    <t>Index_First_Search_Date</t>
  </si>
  <si>
    <t>Index_Search_Date_Comments</t>
  </si>
  <si>
    <t>Minimal_Duration_LSR</t>
  </si>
  <si>
    <t>Minimal_Duration_LSR_Years</t>
  </si>
  <si>
    <t>Search_Frequency_Planned_In_Advance</t>
  </si>
  <si>
    <t>Search_Frequency_Every</t>
  </si>
  <si>
    <t>Search_Reviewer_Assigned_In_Advance</t>
  </si>
  <si>
    <t>Search_Tools</t>
  </si>
  <si>
    <t>Search_Tools_Biblio_AutoAlerts</t>
  </si>
  <si>
    <t>Search_Tools_AI</t>
  </si>
  <si>
    <t>Search_Tools_AI_Type</t>
  </si>
  <si>
    <t>Search_Tools_AI_Other_Precise</t>
  </si>
  <si>
    <t>Search_Tools_Other</t>
  </si>
  <si>
    <t>Search_Tools_Other_Precise</t>
  </si>
  <si>
    <t>Search_NewEvidence_Comments</t>
  </si>
  <si>
    <t>Selection_Reviewer_Assigned_In_Advance</t>
  </si>
  <si>
    <t>Selection_Tools</t>
  </si>
  <si>
    <t>Selection_Tools_AI</t>
  </si>
  <si>
    <t>Selection_Tools_AI_Type</t>
  </si>
  <si>
    <t>Selection_Tools_AI_Other_Precise</t>
  </si>
  <si>
    <t>Selection_Tools_Other</t>
  </si>
  <si>
    <t>Selection_Tools_Other_Precise</t>
  </si>
  <si>
    <t>Selection_Comments</t>
  </si>
  <si>
    <t>DataExtraction_Reviewer_Assigned_In_Advance</t>
  </si>
  <si>
    <t>DataExtraction_Tools</t>
  </si>
  <si>
    <t>DataExtraction_Tools_AI</t>
  </si>
  <si>
    <t>DataExtraction_Tools_AI_Type</t>
  </si>
  <si>
    <t>DataExtraction_Tools_AI_Other_Precise</t>
  </si>
  <si>
    <t>DataExtraction_Tools_Other</t>
  </si>
  <si>
    <t>DataExtraction_Tools_Other_Precise</t>
  </si>
  <si>
    <t>DataExrtaction_Comments</t>
  </si>
  <si>
    <t>ROB_Reviewer_Assigned_In_Advance</t>
  </si>
  <si>
    <t>ROB_Tools</t>
  </si>
  <si>
    <t>ROB_Tools_AI</t>
  </si>
  <si>
    <t>ROB_Tools_AI_Type</t>
  </si>
  <si>
    <t>ROB_Tools_AI_Other_Precise</t>
  </si>
  <si>
    <t>ROB_Tools_Other</t>
  </si>
  <si>
    <t>ROB_Tools_Other_Precise</t>
  </si>
  <si>
    <t>ROB_Comments</t>
  </si>
  <si>
    <t>Statisticians_Assigned_In_Advance</t>
  </si>
  <si>
    <t>Updates_Release_Frequency_Fixed_In_Advance</t>
  </si>
  <si>
    <t>Updates_Release_Frequency_Every</t>
  </si>
  <si>
    <t>Updates_Release_If_New_Evidence</t>
  </si>
  <si>
    <t>Update_Release_Comments</t>
  </si>
  <si>
    <t>Collaborative_Process_Planned</t>
  </si>
  <si>
    <t>Data_Sharing</t>
  </si>
  <si>
    <t>Data_Sharing_Researcher_Conditions_Precise</t>
  </si>
  <si>
    <t>Data_Sharing_comment</t>
  </si>
  <si>
    <t>Support_Update_Sharing_Planned</t>
  </si>
  <si>
    <t>Support_Update_Sharing_Planned_Website</t>
  </si>
  <si>
    <t>Support_Update_Sharing_Planned_Publication</t>
  </si>
  <si>
    <t>Support_Update_Sharing_Planned_Other</t>
  </si>
  <si>
    <t>Support_Update_Sharing_Planned_Other_Precise</t>
  </si>
  <si>
    <t>Retirement_Criteria_Specified</t>
  </si>
  <si>
    <t>Retirement_Criteria_Stable_Findings</t>
  </si>
  <si>
    <t>Retirement_Criteria_High_GRADE</t>
  </si>
  <si>
    <t>Retirement_Criteria_Other</t>
  </si>
  <si>
    <t>Retirement_Criteria_Other_Precise</t>
  </si>
  <si>
    <t>Retirement_Criteria_Comments</t>
  </si>
  <si>
    <t>PLA_Comments</t>
  </si>
  <si>
    <t>ROBIS_overall_risk</t>
  </si>
  <si>
    <t>ROBIS_P2_D1</t>
  </si>
  <si>
    <t>ROBIS_P2_D2</t>
  </si>
  <si>
    <t>ROBIS_P2_D3</t>
  </si>
  <si>
    <t>ROBIS_P2_D4</t>
  </si>
  <si>
    <t>Cannabis‐based products for pediatric epilepsy: A systematic review</t>
  </si>
  <si>
    <t>Jesse Elliott</t>
  </si>
  <si>
    <t>Epilepsia</t>
  </si>
  <si>
    <t>10.1111/epi.14608</t>
  </si>
  <si>
    <t>Yes</t>
  </si>
  <si>
    <t>No</t>
  </si>
  <si>
    <t>Canada</t>
  </si>
  <si>
    <t>Pediatrics</t>
  </si>
  <si>
    <t>Epilepsy</t>
  </si>
  <si>
    <t>Pharmacological only</t>
  </si>
  <si>
    <t>Cannabis-based products</t>
  </si>
  <si>
    <t>Any comparator</t>
  </si>
  <si>
    <t>Placebo; Usual care; Active treatment : Pharmaco (anti-epileptic drug), non-pharmaco (diet, nerve stimulation, resectuve brain surgery); No treatment</t>
  </si>
  <si>
    <t>Single</t>
  </si>
  <si>
    <t>Seizure Freedom</t>
  </si>
  <si>
    <t>No funding</t>
  </si>
  <si>
    <t>10.1186/s13643-018-0761-2</t>
  </si>
  <si>
    <t>CRD42018084755</t>
  </si>
  <si>
    <t>Conventional</t>
  </si>
  <si>
    <t>Random effects only</t>
  </si>
  <si>
    <t>Both</t>
  </si>
  <si>
    <t>Low</t>
  </si>
  <si>
    <t>6 months</t>
  </si>
  <si>
    <t>0 info</t>
  </si>
  <si>
    <t>"update every 6 mois" -&gt; search et release tous les 6 mois?</t>
  </si>
  <si>
    <t>https://cannabisandepilepsy.blogspot.com</t>
  </si>
  <si>
    <t>High</t>
  </si>
  <si>
    <t>Neurology</t>
  </si>
  <si>
    <t>Non-Pharmacological only</t>
  </si>
  <si>
    <t>I^2 only</t>
  </si>
  <si>
    <t>Unclear</t>
  </si>
  <si>
    <t>Biologics for chronic rhinosinusitis (Review)</t>
  </si>
  <si>
    <t>Lee-Yee Chong</t>
  </si>
  <si>
    <t>Cochrane</t>
  </si>
  <si>
    <t>10.1002/14651858.CD013513.pub2</t>
  </si>
  <si>
    <t>UK</t>
  </si>
  <si>
    <t>Otorhinolaryngology</t>
  </si>
  <si>
    <t>Chronin rhinosinusitis</t>
  </si>
  <si>
    <t>Monoclonal antibodies (Dupilumab, lebrikizumab, tralokinumab, reslizumab, benralizumab, mepolizumab, omalizumab)</t>
  </si>
  <si>
    <t>Placebo;No treatment;Surgery</t>
  </si>
  <si>
    <t>Multiple</t>
  </si>
  <si>
    <t>Health-related quality of Life</t>
  </si>
  <si>
    <t>Disease severity; SAEs</t>
  </si>
  <si>
    <t>Public</t>
  </si>
  <si>
    <t>10.1002/14651858.CD013513.</t>
  </si>
  <si>
    <t xml:space="preserve">Protocole publié après recherche </t>
  </si>
  <si>
    <t>No NR Studies</t>
  </si>
  <si>
    <t>1 month</t>
  </si>
  <si>
    <t>Machine Learning</t>
  </si>
  <si>
    <t>Screen4Me</t>
  </si>
  <si>
    <t>"Whenever new evidence (meaning studies, data or information) relevant to the review is identified, we will extract the data and assess risk of bias, as appropriate. We will immediately incorporate any important new evidence into the review"</t>
  </si>
  <si>
    <t>Only if change in result</t>
  </si>
  <si>
    <t>Lopinavir/ritonavir for COVID-19: A living systematic review</t>
  </si>
  <si>
    <t>Francisca Verdugo-Paiva</t>
  </si>
  <si>
    <t>Medwave</t>
  </si>
  <si>
    <t>10.5867/medwave.2020.06.7966</t>
  </si>
  <si>
    <t>Chile</t>
  </si>
  <si>
    <t>Infectiology</t>
  </si>
  <si>
    <t>COVID-19</t>
  </si>
  <si>
    <t>Lopinavir/ritonavir, lopinavir</t>
  </si>
  <si>
    <t>Placebo;No treatment</t>
  </si>
  <si>
    <t>All-cause mortality</t>
  </si>
  <si>
    <t>10.1101/2020.04.11.20062109</t>
  </si>
  <si>
    <t>CRD42020179212</t>
  </si>
  <si>
    <t>Protocol on a preprint server</t>
  </si>
  <si>
    <t>References of included studies screened</t>
  </si>
  <si>
    <t>Informations trouvées sur Chat GPT concernant l'IA utilisée par la plateforme L.OVE (utilisée par les auteurs) car pas d'info sur le type d'IA ni dans article ni sur la plateforme</t>
  </si>
  <si>
    <t>"we will maintain a living, web-based, openly available version of this review"</t>
  </si>
  <si>
    <t>Data sharing : All data related to the project will be available. The Epistemonikos Foundation will grant access to data.</t>
  </si>
  <si>
    <t>https://app.iloveevidence.com/living-reviews/lopinavir-ritonavir-for-covid-19</t>
  </si>
  <si>
    <t>"During the COVID-19 pandemic"</t>
  </si>
  <si>
    <t>The website no longer available</t>
  </si>
  <si>
    <t>Ann Intern Med</t>
  </si>
  <si>
    <t>USA</t>
  </si>
  <si>
    <t>Not reported</t>
  </si>
  <si>
    <t>1 week</t>
  </si>
  <si>
    <t>2 weeks</t>
  </si>
  <si>
    <t>Yes always</t>
  </si>
  <si>
    <t>Interventions for treatment of COVID-19: A living systematic review with meta-analyses and trial sequential analyses (The LIVING Project)</t>
  </si>
  <si>
    <t>Sophie Juul</t>
  </si>
  <si>
    <t>PLOS MED</t>
  </si>
  <si>
    <t>10.1371/journal.pmed.1003293</t>
  </si>
  <si>
    <t>Denmark</t>
  </si>
  <si>
    <t>All pharmacological treatments</t>
  </si>
  <si>
    <t>Placebo ; Usual care</t>
  </si>
  <si>
    <t>SAEs</t>
  </si>
  <si>
    <t>10.1186/s13643-020-01371-0</t>
  </si>
  <si>
    <t>CRD42020178787</t>
  </si>
  <si>
    <t>Comparative effectiveness of treatments for patellofemoral pain: a living systematic review with network meta-analysis</t>
  </si>
  <si>
    <t>Marinus Winters</t>
  </si>
  <si>
    <t>Br J Sports Med</t>
  </si>
  <si>
    <t>10.1136/bjsports-2020-102819</t>
  </si>
  <si>
    <t>Traumatology</t>
  </si>
  <si>
    <t>Patellofemoral pain</t>
  </si>
  <si>
    <t>Any non pharmacological treatment of PFP : exercice, mobilisation, orthosis, education</t>
  </si>
  <si>
    <t xml:space="preserve">Any exercice, mobilisation, orthosis ; Placebo ; No treatment </t>
  </si>
  <si>
    <t>Any improvement on GROC scale</t>
  </si>
  <si>
    <t>Private</t>
  </si>
  <si>
    <t>10.1136/bmjopen-2018-022920</t>
  </si>
  <si>
    <t>CRD42018079502</t>
  </si>
  <si>
    <t>Network</t>
  </si>
  <si>
    <t>Bayesian framework</t>
  </si>
  <si>
    <t>1 year</t>
  </si>
  <si>
    <t>"When new data have become available, we will update the analysis and present the updated findings at the website of Aalborg University</t>
  </si>
  <si>
    <t>https://www.almenmedicin.aau.dk/forskning/forskningsomraade1/</t>
  </si>
  <si>
    <t>When new data available</t>
  </si>
  <si>
    <t>Orthopedic surgery</t>
  </si>
  <si>
    <t>Remdesivir for the treatment of COVID-19: a living systematic review</t>
  </si>
  <si>
    <t>10.5867/medwave.2020.11.8080</t>
  </si>
  <si>
    <t>Remdesivir</t>
  </si>
  <si>
    <t>Placebo; No treatment</t>
  </si>
  <si>
    <t>10.31219/osf.io/zwqf2</t>
  </si>
  <si>
    <t>CRD42020183384</t>
  </si>
  <si>
    <t>"as well 
as an update when conclusions change or whenever there are 
substantial updates"</t>
  </si>
  <si>
    <t>All data related to the project will be available. Epistemonikos Foundation 
will grant access to data.</t>
  </si>
  <si>
    <t>Topic no longer of clinical importance</t>
  </si>
  <si>
    <t>Single or combined immune checkpoint inhibitors compared to first-line platinum-based chemotherapy with or without bevacizumab for people with advanced non-small cell lung cancer (Review)</t>
  </si>
  <si>
    <t>Roberto Ferrara</t>
  </si>
  <si>
    <t>10.1002/14651858.CD013257.pub2</t>
  </si>
  <si>
    <t>Switzerland</t>
  </si>
  <si>
    <t>Oncology</t>
  </si>
  <si>
    <t>Non-small cell lung cancer</t>
  </si>
  <si>
    <t>Single or combined immune checkpoint inhibitors : Anti-PD-1, anti-PD-L1</t>
  </si>
  <si>
    <t>Usual Care</t>
  </si>
  <si>
    <t>Platinum-based chemotherapy +/- bevacizumab</t>
  </si>
  <si>
    <t>Overall survival</t>
  </si>
  <si>
    <t>Progression-free survival</t>
  </si>
  <si>
    <t>10.1002/14651858.CD013257</t>
  </si>
  <si>
    <t>"We will consider each year the necessity for the review to be living
by assessing ongoing relevance of the question to decision-makers
and by determining whether uncertainty is ongoing in the evidence
and whether further relevant research is likely"</t>
  </si>
  <si>
    <t>"We will wait until accumulating evidence changes one or more of
the following components ofthe review before incorporating it and
re-publishing the review."</t>
  </si>
  <si>
    <t>France</t>
  </si>
  <si>
    <t>The Efficacy and Safety of Janus Kinase Inhibitors for Patients With COVID-19: A Living Systematic Review and Meta-Analysis</t>
  </si>
  <si>
    <t>Xueyang Zhang</t>
  </si>
  <si>
    <t>Front med </t>
  </si>
  <si>
    <t>10.3389/fmed.2021.800492</t>
  </si>
  <si>
    <t>China</t>
  </si>
  <si>
    <t>JAK inhibitors : baricitinib, ruxolitinib, tofacitinib, and nezulcitinib</t>
  </si>
  <si>
    <t>Placebo ; Standard of care</t>
  </si>
  <si>
    <t>Mortality, ICU admission, invasive MVn time to recovery, duration hospit, AEs, SAEs, infection/secondary infections</t>
  </si>
  <si>
    <t>CRD42021261414</t>
  </si>
  <si>
    <t>Newcastle-Ottawa scale</t>
  </si>
  <si>
    <t>Efficacy and safety of tocilizumab in COVID-19 patients: a living systematic review and meta-analysis</t>
  </si>
  <si>
    <t>Imad M. Tleyjeh</t>
  </si>
  <si>
    <t>Clin Microbiol Infect</t>
  </si>
  <si>
    <t>10.1016/j.cmi.2020.10.036</t>
  </si>
  <si>
    <t>Saudi Arabia</t>
  </si>
  <si>
    <t>Tocilizumab</t>
  </si>
  <si>
    <t>Need for mechanical ventilation, ICU admission, any composite outcome if reported, adverse events, infections</t>
  </si>
  <si>
    <t>No information about the type primary/secondary of the outcomes</t>
  </si>
  <si>
    <t>3 months</t>
  </si>
  <si>
    <t>"two independent investigators (IT and ZK) receive an updated literature search file every 3 months"</t>
  </si>
  <si>
    <t>"if new evidence becomes available the results will be submitted for publication at regular intervals."</t>
  </si>
  <si>
    <t>Interleukin-6 blocking agents for treating COVID-19: a living systematic review (Review)</t>
  </si>
  <si>
    <t>Lina Ghosn</t>
  </si>
  <si>
    <t>10.1002/14651858.CD013881</t>
  </si>
  <si>
    <t>Interleukine-6 blocking agents</t>
  </si>
  <si>
    <t>Placebo; Standard of Care</t>
  </si>
  <si>
    <t>Clinical improvement</t>
  </si>
  <si>
    <t>WHO Clinical Progression Score &gt;= 7; All-cause mortality; Adverse events; Serious adverse events</t>
  </si>
  <si>
    <t>10.1002/14651858.CD013769</t>
  </si>
  <si>
    <t>CRD42020214700</t>
  </si>
  <si>
    <t>Erreur dans leur flow chart : last search date 26 february 2021 et pas 2020</t>
  </si>
  <si>
    <t>1 day</t>
  </si>
  <si>
    <t>"This published Cochrane Review will be
updated when new evidence emerges with potential to change the
certainty of the evidence or the review authors’ conclusions, or at
least every six months if new evidence is available."</t>
  </si>
  <si>
    <t>Among members of the collaborative process only</t>
  </si>
  <si>
    <t>Collaborative process : We set up a steering committee of epidemiologists, methodologists, statisticians and clinicians with content expertise. This committee
will meet regularly, discuss the conduct of the project, diRiculties encountered and possible changes in the protocol according to new
knowledge available on COVID-19 disease</t>
  </si>
  <si>
    <t>http://covid-nma.com/</t>
  </si>
  <si>
    <t>Remdesivir for the treatment of COVID-19 (Review)</t>
  </si>
  <si>
    <t>Kelly Ansems</t>
  </si>
  <si>
    <t>10.1002/14651858.CD014962</t>
  </si>
  <si>
    <t>Germany</t>
  </si>
  <si>
    <t>Standard of Care +/- Placebo</t>
  </si>
  <si>
    <t>Clinical Status; Need for dialysis;QoL; Need for ICU;Duration of ICU length of stay or time to hospital discharge; Duration of hospitalisation; Viral clearance; SAEs; AEs</t>
  </si>
  <si>
    <t>CRD42021238065</t>
  </si>
  <si>
    <t>"We will
wait until the accumulating evidence changes our conclusions of
the implications of research and practice before republishing the
review."</t>
  </si>
  <si>
    <t>". We will
wait until the accumulating evidence changes our conclusions of
the implications of research and practice before republishing"</t>
  </si>
  <si>
    <t>Systemic corticosteroids for the treatment of COVID-19 (Review)</t>
  </si>
  <si>
    <t>Carina Wagner</t>
  </si>
  <si>
    <t>10.1002/14651858.CD014963</t>
  </si>
  <si>
    <t>Systemic corticosteroids</t>
  </si>
  <si>
    <t>Improvement of clinical status : Ventilator-free days ; Deterioration of clinical status : Need for invasive mechanical ventilation ; QoL ;  SAEs</t>
  </si>
  <si>
    <t>CRD42020227450</t>
  </si>
  <si>
    <t>"We will wait until the accumulating evidence changes our
conclusions of the implications of research and practice before
republishing the review"</t>
  </si>
  <si>
    <t>Antibody and cellular therapies for treatment of covid-19: a living systematic review and network meta-analysis</t>
  </si>
  <si>
    <t>Reed AC Siemieniuk</t>
  </si>
  <si>
    <t>BMJ</t>
  </si>
  <si>
    <t>10.1136/bmj.n2231</t>
  </si>
  <si>
    <t>Antibody and cellular therapies</t>
  </si>
  <si>
    <t>Active ttt, standard care, placebo, no intervention</t>
  </si>
  <si>
    <t>Mechanical ventilation, AE leading to discontinuation, viral clearance, transfusion-related acute lung injury (TRALI), transfusion-associated circulatory overload (TACO), infusion reactions, duration of hospitalisation, ICU length of stay, time to symptom resolution or clinical improvement, time to viral clearance</t>
  </si>
  <si>
    <t>Protocol available in data suplement</t>
  </si>
  <si>
    <t>Node splitting models</t>
  </si>
  <si>
    <t>cf protocol : "We will filter the results from the CDC’s database through a validated and highly sensitive machine learning model to identify RCTs"</t>
  </si>
  <si>
    <t>protocol "Full results will be updated at minimum every two weeks on webpages hosted by BMJ.com and magicapp.org"</t>
  </si>
  <si>
    <t>Protocol "All extracted data will be made available publicly at the time of the updates to be shared and used freely"</t>
  </si>
  <si>
    <t>https://www.covid19lnma.com/</t>
  </si>
  <si>
    <t>Antithrombotic therapy for ambulatory patients with multiple myeloma receiving immunomodulatory agents (Review)</t>
  </si>
  <si>
    <t>Lara A Kahale</t>
  </si>
  <si>
    <t>10.1002/14651858.CD014739</t>
  </si>
  <si>
    <t>Lebanon</t>
  </si>
  <si>
    <t>Hematology</t>
  </si>
  <si>
    <t>Multiple Myeloma</t>
  </si>
  <si>
    <t>Antithrombotic therapy : vitamin K antagonist (VKA), direct oral anticoagulants (DOAC), anti-platelet agents such as aspirin (ASA), and parenteral anticoagulants such as LMWH</t>
  </si>
  <si>
    <t>Active Treatment</t>
  </si>
  <si>
    <t>No available protocol</t>
  </si>
  <si>
    <t>RCT classifier (Cochrane)</t>
  </si>
  <si>
    <t>No information on further updates</t>
  </si>
  <si>
    <t>Living Systematic Review on Cannabis and Other Plant_x0002_Based Treatments for Chronic Pain</t>
  </si>
  <si>
    <t>Marian S. McDonagh</t>
  </si>
  <si>
    <t>AHRQ</t>
  </si>
  <si>
    <t>10.23970/AHRQEPCCER250</t>
  </si>
  <si>
    <t>Chronic pain</t>
  </si>
  <si>
    <t>Cannabis, kratom, other similar cannabis compounds and plant based products</t>
  </si>
  <si>
    <t>Any comparator, usual care</t>
  </si>
  <si>
    <t>Pain</t>
  </si>
  <si>
    <t>Overall function or disability, AEs</t>
  </si>
  <si>
    <t>No DOI</t>
  </si>
  <si>
    <t>CRD42021229579</t>
  </si>
  <si>
    <t>Protocol available on https://effectivehealthcare.ahrq.gov/products/plant-based-chronic-pain-treatment/protocol</t>
  </si>
  <si>
    <t>Cochrane criteria and methods with AHRQ approach via DistillerSR</t>
  </si>
  <si>
    <t>U.S. Preventive Services TASK FORCE criteria and methods with AHRQ approach via DistillerSR</t>
  </si>
  <si>
    <t>"quarterly basis"</t>
  </si>
  <si>
    <t>https://effectivehealthcare.ahrq.gov/products/plant-based-chronic-pain-treatment/living-review#field_report_title_7</t>
  </si>
  <si>
    <t>4 months</t>
  </si>
  <si>
    <t>Colchicine for the treatment of COVID-19 (Review)</t>
  </si>
  <si>
    <t>Agata Mikolajewska</t>
  </si>
  <si>
    <t>10.1002/14651858.CD015045</t>
  </si>
  <si>
    <t>Colchicine</t>
  </si>
  <si>
    <t>Active comparator, placebo, or standard care alone</t>
  </si>
  <si>
    <t>Clinical status;QoL;Aes; SAEs;Admission to hospital;Symptom resolution;Duration to symptom resolution</t>
  </si>
  <si>
    <t>CRD42021239107</t>
  </si>
  <si>
    <t>Only on prospero</t>
  </si>
  <si>
    <t>"We will wait until the accumulating evidence changes one or more of the following components of the review before republishing the review"</t>
  </si>
  <si>
    <t>no new evidence is expected, or the review question is no longer a priority for policy and practice.</t>
  </si>
  <si>
    <t>Antibiotics for the treatment of COVID-19 (Review)</t>
  </si>
  <si>
    <t>Maria Popp</t>
  </si>
  <si>
    <t>10.1002/14651858.CD015025</t>
  </si>
  <si>
    <t>Antibiotics : Azithromycin, others</t>
  </si>
  <si>
    <t>No treatment, standard of care alone, placebo, other antibiotic or any other active intervention</t>
  </si>
  <si>
    <t>Clinical worsening defined as new need for intubation or death, clinical improvement defined as being discharged alive, quality of life, AEs and SAEs, and cardiac arrhythmias</t>
  </si>
  <si>
    <t>CRD42021233062</t>
  </si>
  <si>
    <t>"We will wait until the accumulating evidence changes our conclusions of the implications of research and practice before republishing the review."</t>
  </si>
  <si>
    <t>Pascal Probst</t>
  </si>
  <si>
    <t>Surgery</t>
  </si>
  <si>
    <t>10.1016/j.surg.2021.04.023</t>
  </si>
  <si>
    <t>General and digestive surgery</t>
  </si>
  <si>
    <t>Medical devices, perioperative management, surgical strategy, drug use, nutrition</t>
  </si>
  <si>
    <t>A Living, Interactive Systematic Review and Network Meta-analysis of First-line Treatment of Metastatic Renal Cell Carcinoma</t>
  </si>
  <si>
    <t>Irbaz Bin Riaz</t>
  </si>
  <si>
    <t>Eur Urol</t>
  </si>
  <si>
    <t>10.1016/j.eururo.2021.03.016</t>
  </si>
  <si>
    <t>Effects of low molecular weight heparin and fondaparinux on mortality, hemorrhagic and thrombotic complications in COVID-19 patients</t>
  </si>
  <si>
    <t>Paraskevi C. Fragkou</t>
  </si>
  <si>
    <t>Ther Adv Neurol Disord</t>
  </si>
  <si>
    <t>10.1177/17562864221099472</t>
  </si>
  <si>
    <t>Efficacy and safety of COVID-19 vaccines (Review)</t>
  </si>
  <si>
    <t>Carolina Graña</t>
  </si>
  <si>
    <t>10.1002/14651858.CD015477</t>
  </si>
  <si>
    <t>Herbal Medicine Intervention for the Treatment of COVID-19: A Living Systematic Review and Cumulative Meta-Analysis</t>
  </si>
  <si>
    <t>Lin Ang</t>
  </si>
  <si>
    <t>Front Pharmacol</t>
  </si>
  <si>
    <t>10.3389/fphar.2022.906764</t>
  </si>
  <si>
    <t>Use of anticoagulants in patients with COVID-19: a living systematic review and meta-analysis</t>
  </si>
  <si>
    <t>Diane R Batista</t>
  </si>
  <si>
    <t>J Bras Pneumol</t>
  </si>
  <si>
    <t>10.36416/1806-3756/e20220041</t>
  </si>
  <si>
    <t>Inhaled corticosteroids for the treatment of COVID-19 (Review)</t>
  </si>
  <si>
    <t>Mirko Griesel</t>
  </si>
  <si>
    <t>10.1002/14651858.CD015125</t>
  </si>
  <si>
    <t>Janus kinase inhibitors for the treatment of COVID-19 (Review)</t>
  </si>
  <si>
    <t>Andre Kramer</t>
  </si>
  <si>
    <t>10.1002/14651858.CD015209</t>
  </si>
  <si>
    <t>Fluvoxamine for the treatment of COVID-19 (Review)</t>
  </si>
  <si>
    <t>John LZ Nyirenda</t>
  </si>
  <si>
    <t>10.1002/14651858.CD015391</t>
  </si>
  <si>
    <t>Primary surgery versus primary rehabilitation for treating anterior cruciate ligament injuries: a living systematic review and meta-analysis</t>
  </si>
  <si>
    <t>Tobias Saueressig</t>
  </si>
  <si>
    <t>10.1136/bjsports-2021-105359</t>
  </si>
  <si>
    <t>Efficacy and safety of chimeric antigen receptor T-cell (CAR-T) therapy in hematologic malignancies: a living systematic review on comparative studies</t>
  </si>
  <si>
    <t>Luis Carlos Saiz</t>
  </si>
  <si>
    <t>Ther Adv Hemato</t>
  </si>
  <si>
    <t>10.1177/20406207231168211</t>
  </si>
  <si>
    <t>Effectiveness and Safety of Treatments to Prevent Fractures in People With Low Bone Mass or Primary Osteoporosis: A Living Systematic Review and Network Meta-analysis for the American College of Physicians</t>
  </si>
  <si>
    <t>Chelsea Ayers</t>
  </si>
  <si>
    <t>10.7326/M22-0684</t>
  </si>
  <si>
    <t>Interventions for myopia control in children: a living systematic review and network meta-analysis (Review)</t>
  </si>
  <si>
    <t>John G Lawrenson</t>
  </si>
  <si>
    <t>10.1002/14651858.CD014758.pub2</t>
  </si>
  <si>
    <t>First-line Systemic Treatment Options for Metastatic Castration-Sensitive Prostate Cancer A Living Systematic Review and Network Meta-analysis</t>
  </si>
  <si>
    <t>JAMA Oncol</t>
  </si>
  <si>
    <t>10.1001/jamaoncol.2022.7762</t>
  </si>
  <si>
    <t>Endovascular Thrombectomy for Large Ischemic Strokes: A Living Systematic Review and Meta-Analysis of Randomized Trials</t>
  </si>
  <si>
    <t>Rami Z. Morsi</t>
  </si>
  <si>
    <t>JoS</t>
  </si>
  <si>
    <t>10.5853/jos.2023.00752</t>
  </si>
  <si>
    <t>Comparative Effectiveness of Coronary CT Angiography and Standard of Care for Evaluating Acute Chest Pain: A Living Systematic Review and Meta-Analysis</t>
  </si>
  <si>
    <t>Maurício F. Barbosa</t>
  </si>
  <si>
    <t>Radiol Cardiothorac Imaging</t>
  </si>
  <si>
    <t>10.1148/ryct.230022</t>
  </si>
  <si>
    <t>Conservative and Surgical Modalities in the Management of Pediatric Parapneumonic Effusion and Empyema A Living Systematic Review and Network Meta-Analysis</t>
  </si>
  <si>
    <t>Clara Fernandez Elviro</t>
  </si>
  <si>
    <t>Chest</t>
  </si>
  <si>
    <t>10.1016/j.chest.2023.06.010</t>
  </si>
  <si>
    <t>The association between influenza vaccination, cardiovascular mortality and hospitalization: A living systematic review and prospective meta-analysis</t>
  </si>
  <si>
    <t>Rong Liu</t>
  </si>
  <si>
    <t>Vaccine</t>
  </si>
  <si>
    <t>10.1016/j.vaccine.2024.01.040</t>
  </si>
  <si>
    <t>The effect of complement C3 or C5 inhibition on geographic atrophy secondary to age-related macular degeneration: A living systematic review and meta-analysis</t>
  </si>
  <si>
    <t>Anubhav Garg</t>
  </si>
  <si>
    <t>Surv Ophthalmol</t>
  </si>
  <si>
    <t>10.1016/j.survophthal.2023.11.008</t>
  </si>
  <si>
    <t>The efficacy of interventions to prevent type 2 diabetes among women with recent gestational diabetes mellitus—A living systematic review and meta-analysis</t>
  </si>
  <si>
    <t>Vivian Y. Lee</t>
  </si>
  <si>
    <t>10.1111/1753-0407.13590</t>
  </si>
  <si>
    <t>Antidepressants for treating depression among older adults with dementia: A systematic review and meta-analysis</t>
  </si>
  <si>
    <t>Eric Lenouvel</t>
  </si>
  <si>
    <t>10.1016/j.psychres.2024.116114</t>
  </si>
  <si>
    <t>Safety and Efectiveness of COVID‑19 Vaccines During Pregnancy: A Living Systematic Review and Meta‑analysis</t>
  </si>
  <si>
    <t>Agustín Ciapponi</t>
  </si>
  <si>
    <t>Drug Safety</t>
  </si>
  <si>
    <t>10.1007/s40264-024-01458-w</t>
  </si>
  <si>
    <t>Correction potential and outcome of various surgical procedures for hallux valgus surgery: a living systematic review and meta‑analysis</t>
  </si>
  <si>
    <t>Sarah Ettinger</t>
  </si>
  <si>
    <t>10.1007/s00402-024-05521-0</t>
  </si>
  <si>
    <t>Interventions for quitting vaping (Review)</t>
  </si>
  <si>
    <t>Ailsa R Butler</t>
  </si>
  <si>
    <t>10.1002/14651858.CD016058.pub2</t>
  </si>
  <si>
    <t>Systemic Immunomodulatory Treatments for Patients With Atopic Dermatitis A Systematic Review and Network Meta-analysis</t>
  </si>
  <si>
    <t>Aaron M. Drucker</t>
  </si>
  <si>
    <t>JAMA Dermatology</t>
  </si>
  <si>
    <t>10.1001/jamadermatol.2020.0796</t>
  </si>
  <si>
    <t>Drug treatments for covid-19: living systematic review and network meta-analysis</t>
  </si>
  <si>
    <t>10.1136 bmj.m2980</t>
  </si>
  <si>
    <t>Balanced crystalloids versus saline for critically ill patients (BEST-Living): a systematic review and individual patient data meta-analysis</t>
  </si>
  <si>
    <t>Fernando G Zampieri</t>
  </si>
  <si>
    <t>Lancet Respir Med</t>
  </si>
  <si>
    <t>10.1016/ S2213-2600(23)00417-4</t>
  </si>
  <si>
    <t>Ivermectin for preventing and treating COVID-19 (Review)</t>
  </si>
  <si>
    <t>10.1002/14651858.CD015017.pub2</t>
  </si>
  <si>
    <t>Prophylaxis against covid-19: living systematic review and network meta-analysis</t>
  </si>
  <si>
    <t>Jessica J Bartoszko</t>
  </si>
  <si>
    <t>10.1136/bmj.n949</t>
  </si>
  <si>
    <t>Mesenchymal stem/stromal cell_x0001_based therapies for COVID-19: First iteration of a living systematic review and meta-analysis MSCs and COVID-19</t>
  </si>
  <si>
    <t>Aidan M. Kirkham</t>
  </si>
  <si>
    <t>Cytotherapy</t>
  </si>
  <si>
    <t>10.1016/j.jcyt.2021.12.001</t>
  </si>
  <si>
    <t>Endocrinology</t>
  </si>
  <si>
    <t>Intensive Care</t>
  </si>
  <si>
    <t>Emergency Medicine</t>
  </si>
  <si>
    <t>Preventive and Public Health</t>
  </si>
  <si>
    <t>Ophtalmology</t>
  </si>
  <si>
    <t>Dermatology</t>
  </si>
  <si>
    <t>Pancreatic disease requiring pancreatic surgery</t>
  </si>
  <si>
    <t>Any intervention that aimed to affect surgical outcome</t>
  </si>
  <si>
    <t>Postoperative pancreatic fistula, delayed gastric emptying, post-pancreatectomy hemorrhage, bile leak, chyle leak, intra-abdominal fluid collection/abscess, overall morbidity, comprehensive complication index, survival, length of hospital stay, and operation time</t>
  </si>
  <si>
    <t>10.1136/ bmjopen-2019-032353</t>
  </si>
  <si>
    <t>CRD42019133444</t>
  </si>
  <si>
    <t>http://www.evidencemap.surgery/</t>
  </si>
  <si>
    <t>Social media : Facebook, Twitter, Youtube</t>
  </si>
  <si>
    <t>Metastatic renal cell carcinoma</t>
  </si>
  <si>
    <t>Tyrosine Kinase Inhibitors, checkpoints inhibitors, combinations</t>
  </si>
  <si>
    <t>Tyrosine Kinase ihibitor</t>
  </si>
  <si>
    <t>Progression-Free Survival (PFS)</t>
  </si>
  <si>
    <t>Overall survival, overall response rate, complete response, Aes, Treatment related AEs</t>
  </si>
  <si>
    <t>A “living” auto search with
monthly updates was subsequently created to identify new
relevant RCTs</t>
  </si>
  <si>
    <t>"Human in the loop" pathway : validated by a human, IA integrated in the tool</t>
  </si>
  <si>
    <t xml:space="preserve">Yes </t>
  </si>
  <si>
    <t>https://rcc.network-meta-analysis.com/</t>
  </si>
  <si>
    <t>Greece</t>
  </si>
  <si>
    <t>Low molecular weight heparin and/or fondaparinux</t>
  </si>
  <si>
    <t>CRD42021229771</t>
  </si>
  <si>
    <t>Newcastle-Ottawa Scale</t>
  </si>
  <si>
    <t>Reference list of included studies searched</t>
  </si>
  <si>
    <t>COVID-19 Vaccines</t>
  </si>
  <si>
    <t>Placebo, other vaccines, covid-19 vaccines</t>
  </si>
  <si>
    <t>Incidence of SARS-CoV-2</t>
  </si>
  <si>
    <t>Incidence of symptomatic COVID-19; Severe or critical COVID-19 ; All-cause mortality; AEs</t>
  </si>
  <si>
    <t>10.5281/zenodo.6458272</t>
  </si>
  <si>
    <t>CRD42021271897</t>
  </si>
  <si>
    <t>"Finally, the review is updated continually; each week, we search for new trials and collect data, and bi-weekly we update the syntheses"</t>
  </si>
  <si>
    <t>"This review is part of a larger project: the COVID-NMA initiative
(Boutron 2020a)."</t>
  </si>
  <si>
    <t>https://covid-nma.com/</t>
  </si>
  <si>
    <t>South Korea</t>
  </si>
  <si>
    <t>Herbal medicine by oral administration</t>
  </si>
  <si>
    <t>Standard of Care; placebo; no treatment</t>
  </si>
  <si>
    <t>Total effective rate</t>
  </si>
  <si>
    <t>Symptom resolution</t>
  </si>
  <si>
    <t>CRD42020191711</t>
  </si>
  <si>
    <t>Brasil</t>
  </si>
  <si>
    <t>Anticoagulants</t>
  </si>
  <si>
    <t>Standard of Care; Placebo</t>
  </si>
  <si>
    <t>Bleeding or major bleeding, ATE, VTE</t>
  </si>
  <si>
    <t>CRD42021289669</t>
  </si>
  <si>
    <t>Inhaled corticosteroids</t>
  </si>
  <si>
    <t>Clinical status worsening/improvement, quality of life, SAEs, Aes, admission to hospital, symptom resolution, Infections, PREMs</t>
  </si>
  <si>
    <t>CRD42021266913</t>
  </si>
  <si>
    <t>"We will wait until the accumulating evidence changes our
conclusions of the implications of research and practice before
republishing the review. We will consider one or more of the
following components to inform this decision"</t>
  </si>
  <si>
    <t>JAK inhibitors</t>
  </si>
  <si>
    <t>Clinical status worsening/improvement, quality of life, SAEs, AEs, specific AEs, admission to hospital</t>
  </si>
  <si>
    <t>CRD42021272973</t>
  </si>
  <si>
    <t>Searches : reference lists of included studies</t>
  </si>
  <si>
    <t>"We will use the CCSR to monitor newly-published results of RCTs on
JAK inhibitors on a weekly basis"</t>
  </si>
  <si>
    <t>No new evidence expected, topic no longer a priority</t>
  </si>
  <si>
    <t>Clinical status worsening/improvement, quality of life, SAEs, AEs, suicide or suicide attempt,  all-cause admission to hospital, symptom resolution</t>
  </si>
  <si>
    <t>CRD42022299758</t>
  </si>
  <si>
    <t>"We will wait until the accumulating evidence changes our conclusions of the implications of research and practice before republishing the review. We will consider one or more of the
following components to inform this decision"</t>
  </si>
  <si>
    <t>Fluvoxamine</t>
  </si>
  <si>
    <t>Continuous - quality of life</t>
  </si>
  <si>
    <t>Anterior cruciate ligament rupture</t>
  </si>
  <si>
    <t>Rehabilitation</t>
  </si>
  <si>
    <t xml:space="preserve">Radiological knee osteoarthritis, meniscal injuries </t>
  </si>
  <si>
    <t>Self-reported knee function (IKDC, KOOS)</t>
  </si>
  <si>
    <t>CRD42021256537</t>
  </si>
  <si>
    <t>Bayesian random-effects model</t>
  </si>
  <si>
    <t>References of included studies screened, CINeMA criteria for imprecision, inconsistency, publicaiton bias</t>
  </si>
  <si>
    <t>Online acces : https://osf.io/rxpwm</t>
  </si>
  <si>
    <t>Metastatic castration-sensitive prostate cancer</t>
  </si>
  <si>
    <t>Acute ischemic stroke</t>
  </si>
  <si>
    <t>Endovascular thrombectomy</t>
  </si>
  <si>
    <t>Functional independence</t>
  </si>
  <si>
    <t>CRD42023398742</t>
  </si>
  <si>
    <t>Acute chest pain</t>
  </si>
  <si>
    <t>Coronary CT angiography</t>
  </si>
  <si>
    <t>10.1136/bmjopen-2020-045010</t>
  </si>
  <si>
    <t>CRD42021242358</t>
  </si>
  <si>
    <t>https://osf.io/kzrvt/wiki/home/</t>
  </si>
  <si>
    <t>Spain</t>
  </si>
  <si>
    <t>CAR-T therapy</t>
  </si>
  <si>
    <t>Fixed effects only</t>
  </si>
  <si>
    <t>CRD42021236220</t>
  </si>
  <si>
    <t>SIGN (Scottish Intercollegiate Guidelines Network)</t>
  </si>
  <si>
    <t>Myopia</t>
  </si>
  <si>
    <t>10.1002/14651858.CD014758</t>
  </si>
  <si>
    <t>https://gesundheitscampus.hochschule-bochum.de/en/research/current-projects/surgery-or-rehabilitation</t>
  </si>
  <si>
    <t>Hematologic malignancies</t>
  </si>
  <si>
    <t>Chemotherapy, other active threatment, HSCT, standard of care</t>
  </si>
  <si>
    <t>10.12688/openreseurope.14390.2</t>
  </si>
  <si>
    <t>"An 
updated report at this stage will be published in 
this or any other peer-reviewed journal when 
findings from the new evidence differ substan_x0002_tially from the baseline repor"</t>
  </si>
  <si>
    <t>https://osf.io/93h67/</t>
  </si>
  <si>
    <t>Internal medicine</t>
  </si>
  <si>
    <t>Low bone mass or osteoporosis</t>
  </si>
  <si>
    <t>Bisphosphonates, parathyroid hormones, receptor activator of nuclear factor κB ligand inhibitors, selective estrogen receptor modulators, and sclerostin inhibitors</t>
  </si>
  <si>
    <t>Active treatments, placebo</t>
  </si>
  <si>
    <t>Fracture reduction</t>
  </si>
  <si>
    <t>AEs, SAEs, WAEs, osteonecrosis of the jaw, atypical femoral fractures, atrial fibrillation, quality of life</t>
  </si>
  <si>
    <t>"This systematic review will
be maintained as a living review with periodic literature
searches and updates as new studies emerge" --- " in assessing whether the new evidence may
lead to meaningful changes to the recommendations and
an update is warranted. "</t>
  </si>
  <si>
    <t>For any researcher</t>
  </si>
  <si>
    <t>Available from Dr Kansagara (e-mail)</t>
  </si>
  <si>
    <t>Pharmacological and environmental interventions used slowing progression of myopia in children : lenses, atropine, other agents…</t>
  </si>
  <si>
    <t>Active treatment, placebo</t>
  </si>
  <si>
    <t>Progression of myopia : mean change in refractive error and in axial length</t>
  </si>
  <si>
    <t>Rebound</t>
  </si>
  <si>
    <t>Triplet therapy</t>
  </si>
  <si>
    <t>Androgen pathway inhibitor</t>
  </si>
  <si>
    <t>Radiographic/clinical progression free survival, grade 3 or higher AEs, health-related QOL</t>
  </si>
  <si>
    <t>mCSPC | Living Interactive Systematic Reviews</t>
  </si>
  <si>
    <t>voir protocole</t>
  </si>
  <si>
    <t>voir protocol</t>
  </si>
  <si>
    <t>Different types of endovascular procedures adjunctively to thombectomy, standard of care</t>
  </si>
  <si>
    <t xml:space="preserve">Mortality after stroke onset, symptomatic intracranial hemorrhage, mRS 0-3, NIHSS scale, any intracranial hemorrhage </t>
  </si>
  <si>
    <t>Reference list of included studies</t>
  </si>
  <si>
    <t>SOC</t>
  </si>
  <si>
    <t>Length of hospital stay</t>
  </si>
  <si>
    <t>Invasive coronary angiographic, myocardial infarction, all-cause mortality, cardiovascular mortality,time to diagnosis, further stress testing, repeat visits or hospitalizations, rate of hospitalization, heart failure, cardioembolic stroke, changes in medication, radiation exposure, participant satisfaction, costs.</t>
  </si>
  <si>
    <t>Economic utility outcome</t>
  </si>
  <si>
    <t>"This LSR will continually update the data as new studies are published."</t>
  </si>
  <si>
    <t>Pediatric parapneumonic effusions and empyema</t>
  </si>
  <si>
    <t>Antibiotics, chest tube insertion, VATS, decortication via thoracotomy</t>
  </si>
  <si>
    <t>Hospital length of  stay</t>
  </si>
  <si>
    <t>Australia</t>
  </si>
  <si>
    <t>Influenza vaccine</t>
  </si>
  <si>
    <t>Placebo, no vaccine</t>
  </si>
  <si>
    <t>10.1136/bmjopen-2021-054171</t>
  </si>
  <si>
    <t>CRD42021222519</t>
  </si>
  <si>
    <t>Age-related macular degeneration</t>
  </si>
  <si>
    <t>Sham</t>
  </si>
  <si>
    <t>CRD42022369173</t>
  </si>
  <si>
    <t>Type 2 diabetes</t>
  </si>
  <si>
    <t>CRD42021279891</t>
  </si>
  <si>
    <t>CRD42019126323</t>
  </si>
  <si>
    <t>Argentina</t>
  </si>
  <si>
    <t>10.1097/MD.0000000000032954</t>
  </si>
  <si>
    <t>CRD42021281290</t>
  </si>
  <si>
    <t>NIH</t>
  </si>
  <si>
    <t>Arch Orthop Trauma Surg</t>
  </si>
  <si>
    <t>Hallux valgus</t>
  </si>
  <si>
    <t>CRD42021261490</t>
  </si>
  <si>
    <t>Cardiovascular disease</t>
  </si>
  <si>
    <t>CVD mortality, all-cause hospitalization, CVD hospitalization</t>
  </si>
  <si>
    <t>and interval search 25/01/2023</t>
  </si>
  <si>
    <t>je ne vois rien à ce sujet</t>
  </si>
  <si>
    <t>Complement factor 3 and 5 (C3 and C5) inhibition</t>
  </si>
  <si>
    <t>Mean change in the square root of the GA area</t>
  </si>
  <si>
    <t>Mean change in best corrected visual acuity (BCVA), rate of ocular treatment-emergent adverse events (TEAE), rate of ocular serious adverse events (SAE), rate of systemic TEAE, rate of systemic SAE, and rate of patients developing exudative AMD</t>
  </si>
  <si>
    <t>je trouve pas qu'ils donnent des critères pour s'arrêter (ils disent juste qu'ils vont en discuter)</t>
  </si>
  <si>
    <t>Lifestyle, behavioral, psychological interventions or pharmacotherapy alone or in combination</t>
  </si>
  <si>
    <t>Usual care or any other intervention or placebo</t>
  </si>
  <si>
    <t>Composite</t>
  </si>
  <si>
    <t>Diagnosis of T2D or a measure of dysglycemia</t>
  </si>
  <si>
    <t>10.1101/2021.10.31.21265595</t>
  </si>
  <si>
    <t>Psychiatry</t>
  </si>
  <si>
    <t>Depression associated to dementia in older adults</t>
  </si>
  <si>
    <t>Psychotropic treatment</t>
  </si>
  <si>
    <t>Placebo</t>
  </si>
  <si>
    <t>Depressive symptoms level</t>
  </si>
  <si>
    <t>Usual care, no vaccine, another COVI-19 vaccine, other active comparators</t>
  </si>
  <si>
    <t>Pregnancy related maternal or obstetric safety outcomes</t>
  </si>
  <si>
    <t>AEs following immunization (AEFIs), infant outcomes, vaccine efficacy or effectiveness (VE), immunogenicity results</t>
  </si>
  <si>
    <t>https://www.safeinpregnancy.org/living-systematic-review/</t>
  </si>
  <si>
    <t>Primary surgical intervention</t>
  </si>
  <si>
    <t>Another primary surgical intervention</t>
  </si>
  <si>
    <t>Any functional outcome</t>
  </si>
  <si>
    <t>Any PRO, return to work/sport, patient satisfaction</t>
  </si>
  <si>
    <t>5 years</t>
  </si>
  <si>
    <t>German guideline on hallux valgus ("German AWMF S2e guideline “Hallux valgus” (033-018)")</t>
  </si>
  <si>
    <t>10.1002/14651858.CD016058</t>
  </si>
  <si>
    <t>Atopic dermatitis</t>
  </si>
  <si>
    <t>10.1136/bmjopen-2018-023061</t>
  </si>
  <si>
    <t>CRD42018088112</t>
  </si>
  <si>
    <t>http://eczematherapies.com/research</t>
  </si>
  <si>
    <t>Critically ill patients</t>
  </si>
  <si>
    <t>CRD42022299282</t>
  </si>
  <si>
    <t>Ivermectin</t>
  </si>
  <si>
    <t>10.1002/14651858.CD015017</t>
  </si>
  <si>
    <t>Addiction to vaping</t>
  </si>
  <si>
    <t>Combination NRT (nicotine replacement therapy), cytisine, varenicline, behavioural interventions</t>
  </si>
  <si>
    <t>Placebo, no (or minimal) support, active treatment</t>
  </si>
  <si>
    <t>Vaping cessation, change in combustile tobacco use, SAEs</t>
  </si>
  <si>
    <t>Vaping cessation</t>
  </si>
  <si>
    <t>https://www.cebm.ox.ac.uk/research/electronic-cigarettes-for-smoking-cessation-cochrane-living-systematic-review-1</t>
  </si>
  <si>
    <t>Social media (X)</t>
  </si>
  <si>
    <t>No longer a priority for decision-makers</t>
  </si>
  <si>
    <t>Immunomodulatory therapies (dupilumab, cyclosporine, methotrexate…)</t>
  </si>
  <si>
    <t>Placebo or active treatment</t>
  </si>
  <si>
    <t>Change in investigator-reported clinical signs</t>
  </si>
  <si>
    <t>Change in patient-reported overall symptoms, withdrawal from systemic treatment owing to AEs; SAEs.</t>
  </si>
  <si>
    <t>2 months</t>
  </si>
  <si>
    <t>Drug treatment for COVID-19</t>
  </si>
  <si>
    <t>Active treatment, placebo, standard care</t>
  </si>
  <si>
    <t>Mechanical ventilation, AEs leading to discontinuation, viral clearance, duration of hospital stay, intensive care unit (ICU) length of stay, time to symptom resolution or clinical improvement, and time to viral clearance</t>
  </si>
  <si>
    <t>Balanced crystalloids</t>
  </si>
  <si>
    <t>Saline (0.9% sodium chloride)</t>
  </si>
  <si>
    <t>10.51893/2022.2.OA3</t>
  </si>
  <si>
    <t>Other bayesian approach</t>
  </si>
  <si>
    <t>analyse refaite avant de publier</t>
  </si>
  <si>
    <t>No treatment, placebo, standard of care</t>
  </si>
  <si>
    <t xml:space="preserve">Clinical status worsening/improvement, AE, admission to hospital, SAEs, QoL, viral clearance, </t>
  </si>
  <si>
    <t>10.1186/s13643-021-01803-5</t>
  </si>
  <si>
    <t>CRD42021225431</t>
  </si>
  <si>
    <t>Drug, antibody, vitamins</t>
  </si>
  <si>
    <t>Placebo, standard of care or no prophylaxis</t>
  </si>
  <si>
    <t>Laboratory confirmed SARS-CoV-2 infection</t>
  </si>
  <si>
    <t xml:space="preserve">A composite of suspected, probable, or laboratory confirmed SARS-CoV-2 infection; Admission to hospital (within 28 days of randomisation); Mortality (closest to 90 days); adverse effects leading to drug discontinuation (within 28 days of randomisation); and time to symptom resolution or clinical improvement. </t>
  </si>
  <si>
    <t>Updates may occur for up to two years from the date of original publication.</t>
  </si>
  <si>
    <t>a collaborative effort between WHO and the MAGIC</t>
  </si>
  <si>
    <t>http://www.covid19lnma.com/</t>
  </si>
  <si>
    <t>Mesenchymal stem/stromal cell-based therapies</t>
  </si>
  <si>
    <t>voir dans le protocole</t>
  </si>
  <si>
    <t>Evidence Map of Pancreatic Surgery-A living systematic review with meta-analyses by the International Study Group of Pancreatic Surgery (ISGPS)</t>
  </si>
  <si>
    <t>"We plan to update our results with emerging evidence arising from new observational studies or  RCTs"; "regularly"</t>
  </si>
  <si>
    <t>website no more available</t>
  </si>
  <si>
    <t>magicapp.org;www.bmj.com/content/370/bmj.m2980/</t>
  </si>
  <si>
    <t>J Diabetes</t>
  </si>
  <si>
    <t>Psychiatry Res</t>
  </si>
  <si>
    <t>PO_Dichotomous</t>
  </si>
  <si>
    <t>Index_Included_NRS_n</t>
  </si>
  <si>
    <t>Index_Included_RCT_n</t>
  </si>
  <si>
    <t>Retirement_Criteria_Topic_No_Important</t>
  </si>
  <si>
    <t>no more studies expected on the topic</t>
  </si>
  <si>
    <t>If high certainty of evidecence after 12 months of surveillance</t>
  </si>
  <si>
    <t>until optimal size of information is met ?</t>
  </si>
  <si>
    <t>Pain Medicine</t>
  </si>
  <si>
    <t>Usual care +/- Placebo</t>
  </si>
  <si>
    <t>No treatment or Placebo</t>
  </si>
  <si>
    <t>Active treatment +/- Placebo</t>
  </si>
  <si>
    <t>Search_Grey_Literature_Reference_List_Included_Studies</t>
  </si>
  <si>
    <t>Not precised</t>
  </si>
  <si>
    <t>SIGN50 Checklist ; NIH Quality Assessment Tool ; Joanna‐Briggs Institute Checklist for Analytic Cross Sectional Studies</t>
  </si>
  <si>
    <t>Upon request</t>
  </si>
  <si>
    <t>Topic no longer of clinical importance, protocol :"We anticipate that the project will end when the question is no longer of clinical importance, 
or new evidence that might impact on the conclusions is unlikely to be forthcoming"</t>
  </si>
  <si>
    <t>Topic no longer of clinical importance During the COVID-19 pandemic</t>
  </si>
  <si>
    <t>NO</t>
  </si>
  <si>
    <t>2.1</t>
  </si>
  <si>
    <t>2.2</t>
  </si>
  <si>
    <t>2.3</t>
  </si>
  <si>
    <t>2.4</t>
  </si>
  <si>
    <t>2.5</t>
  </si>
  <si>
    <t>2.6</t>
  </si>
  <si>
    <t>2.7</t>
  </si>
  <si>
    <t>2.8</t>
  </si>
  <si>
    <t>2.9</t>
  </si>
  <si>
    <t>2.10</t>
  </si>
  <si>
    <t>2.11</t>
  </si>
  <si>
    <t>2.12</t>
  </si>
  <si>
    <t>PRISMA_1</t>
  </si>
  <si>
    <t>PRISMA_2</t>
  </si>
  <si>
    <t>PRISMA_3</t>
  </si>
  <si>
    <t>PRISMA_4</t>
  </si>
  <si>
    <t>3.1</t>
  </si>
  <si>
    <t>3.2</t>
  </si>
  <si>
    <t>PRISMA_L1</t>
  </si>
  <si>
    <t>L1.1</t>
  </si>
  <si>
    <t>L1.2</t>
  </si>
  <si>
    <t>L1.3</t>
  </si>
  <si>
    <t>PRISMA_5</t>
  </si>
  <si>
    <t>5.</t>
  </si>
  <si>
    <t>6.</t>
  </si>
  <si>
    <t>PRISMA_6</t>
  </si>
  <si>
    <t>7.</t>
  </si>
  <si>
    <t>PRISMA_7</t>
  </si>
  <si>
    <t>8.</t>
  </si>
  <si>
    <t>PRISMA_8</t>
  </si>
  <si>
    <t>9.1</t>
  </si>
  <si>
    <t>9.2</t>
  </si>
  <si>
    <t>PRISMA_9</t>
  </si>
  <si>
    <t>10a</t>
  </si>
  <si>
    <t>10b</t>
  </si>
  <si>
    <t>PRISMA_10</t>
  </si>
  <si>
    <t>11.1</t>
  </si>
  <si>
    <t>11.2</t>
  </si>
  <si>
    <t>PRISMA_11</t>
  </si>
  <si>
    <t>PRISMA_12</t>
  </si>
  <si>
    <t>13a</t>
  </si>
  <si>
    <t>13b</t>
  </si>
  <si>
    <t>13c</t>
  </si>
  <si>
    <t>13e</t>
  </si>
  <si>
    <t>13f</t>
  </si>
  <si>
    <t>PRISMA_13</t>
  </si>
  <si>
    <t>PRISMA_14</t>
  </si>
  <si>
    <t>PRISMA_15</t>
  </si>
  <si>
    <t>L2.1</t>
  </si>
  <si>
    <t>L2.2</t>
  </si>
  <si>
    <t>L2.3</t>
  </si>
  <si>
    <t>PRISMA_L2</t>
  </si>
  <si>
    <t>16a2</t>
  </si>
  <si>
    <t>16a3</t>
  </si>
  <si>
    <t>16b</t>
  </si>
  <si>
    <t>PRISMA_16</t>
  </si>
  <si>
    <t>PRISMA_17</t>
  </si>
  <si>
    <t>PRISMA_18</t>
  </si>
  <si>
    <t>PRISMA_20</t>
  </si>
  <si>
    <t>20a</t>
  </si>
  <si>
    <t>20b2</t>
  </si>
  <si>
    <t>20c</t>
  </si>
  <si>
    <t>20d</t>
  </si>
  <si>
    <t>PRISMA_21</t>
  </si>
  <si>
    <t>PRISMA_22</t>
  </si>
  <si>
    <t>L3.1</t>
  </si>
  <si>
    <t>L3.2</t>
  </si>
  <si>
    <t>L3.4</t>
  </si>
  <si>
    <t>PRISMA_L3</t>
  </si>
  <si>
    <t>PRISMA_23</t>
  </si>
  <si>
    <t>23a</t>
  </si>
  <si>
    <t>23b</t>
  </si>
  <si>
    <t>23c2</t>
  </si>
  <si>
    <t>23d</t>
  </si>
  <si>
    <t>23d2</t>
  </si>
  <si>
    <t>23d3</t>
  </si>
  <si>
    <t>23d4</t>
  </si>
  <si>
    <t>PRISMA_26</t>
  </si>
  <si>
    <t>PRISMA_25</t>
  </si>
  <si>
    <t>PRISMA_24</t>
  </si>
  <si>
    <t>24a</t>
  </si>
  <si>
    <t>24b</t>
  </si>
  <si>
    <t>24c</t>
  </si>
  <si>
    <t>25.1</t>
  </si>
  <si>
    <t>25.2</t>
  </si>
  <si>
    <t>26.1</t>
  </si>
  <si>
    <t>26.2</t>
  </si>
  <si>
    <t>PRISMA_27</t>
  </si>
  <si>
    <t>27.1</t>
  </si>
  <si>
    <t>27.2</t>
  </si>
  <si>
    <t>1.3</t>
  </si>
  <si>
    <t>1.1</t>
  </si>
  <si>
    <t>4.1</t>
  </si>
  <si>
    <t>4.2</t>
  </si>
  <si>
    <t>PRISMA_19</t>
  </si>
  <si>
    <t>20b1</t>
  </si>
  <si>
    <t>L3.3</t>
  </si>
  <si>
    <t>23c1</t>
  </si>
  <si>
    <t>L4</t>
  </si>
  <si>
    <t>PRISMA_L4</t>
  </si>
  <si>
    <t>16a1</t>
  </si>
  <si>
    <t>13d2</t>
  </si>
  <si>
    <t>13d1</t>
  </si>
  <si>
    <t>3.3</t>
  </si>
  <si>
    <t>1.2</t>
  </si>
  <si>
    <t>NA</t>
  </si>
  <si>
    <r>
      <t xml:space="preserve">"A monthly surveillance for new evidence related to the potential benefits and risks of the treatment was planned. The data selection, data extraction, and quality assessment methods described in this review will be performed. </t>
    </r>
    <r>
      <rPr>
        <b/>
        <sz val="10"/>
        <color theme="1"/>
        <rFont val="Calibri"/>
        <family val="2"/>
        <scheme val="minor"/>
      </rPr>
      <t>The relevant meta_x0002_analyses will continuously be updated, and if significant evidence is available, the results will be published quarterly</t>
    </r>
    <r>
      <rPr>
        <sz val="10"/>
        <color theme="1"/>
        <rFont val="Calibri"/>
        <family val="2"/>
        <scheme val="minor"/>
      </rPr>
      <t>."</t>
    </r>
  </si>
  <si>
    <r>
      <t xml:space="preserve">"Considering the living systematic review strategy, </t>
    </r>
    <r>
      <rPr>
        <b/>
        <sz val="10"/>
        <color theme="1"/>
        <rFont val="Calibri"/>
        <family val="2"/>
        <scheme val="minor"/>
      </rPr>
      <t>we will search for new RCTs every six</t>
    </r>
    <r>
      <rPr>
        <sz val="10"/>
        <color theme="1"/>
        <rFont val="Calibri"/>
        <family val="2"/>
        <scheme val="minor"/>
      </rPr>
      <t xml:space="preserve"> months </t>
    </r>
    <r>
      <rPr>
        <b/>
        <sz val="10"/>
        <color theme="1"/>
        <rFont val="Calibri"/>
        <family val="2"/>
        <scheme val="minor"/>
      </rPr>
      <t>and add new information to this systematic review</t>
    </r>
    <r>
      <rPr>
        <sz val="10"/>
        <color theme="1"/>
        <rFont val="Calibri"/>
        <family val="2"/>
        <scheme val="minor"/>
      </rPr>
      <t>. "</t>
    </r>
  </si>
  <si>
    <r>
      <t xml:space="preserve">"We </t>
    </r>
    <r>
      <rPr>
        <b/>
        <sz val="10"/>
        <color theme="1"/>
        <rFont val="Calibri"/>
        <family val="2"/>
        <scheme val="minor"/>
      </rPr>
      <t>will use the CCSR</t>
    </r>
    <r>
      <rPr>
        <sz val="10"/>
        <color theme="1"/>
        <rFont val="Calibri"/>
        <family val="2"/>
        <scheme val="minor"/>
      </rPr>
      <t xml:space="preserve"> to monitor newly published results of RCTs on
inhaled corticosteroids on a weekly basis." "Our information specialist (MIM) will provide us with new </t>
    </r>
    <r>
      <rPr>
        <b/>
        <sz val="10"/>
        <color theme="1"/>
        <rFont val="Calibri"/>
        <family val="2"/>
        <scheme val="minor"/>
      </rPr>
      <t>search records each month</t>
    </r>
    <r>
      <rPr>
        <sz val="10"/>
        <color theme="1"/>
        <rFont val="Calibri"/>
        <family val="2"/>
        <scheme val="minor"/>
      </rPr>
      <t>"</t>
    </r>
  </si>
  <si>
    <r>
      <t xml:space="preserve">"Data obtained is readily available for sharing upon request to EL for
</t>
    </r>
    <r>
      <rPr>
        <b/>
        <sz val="10"/>
        <color theme="1"/>
        <rFont val="Calibri"/>
        <family val="2"/>
        <scheme val="minor"/>
      </rPr>
      <t>academic purposes</t>
    </r>
    <r>
      <rPr>
        <sz val="10"/>
        <color theme="1"/>
        <rFont val="Calibri"/>
        <family val="2"/>
        <scheme val="minor"/>
      </rPr>
      <t xml:space="preserve">." -&gt; je le comprends comme dispo pour la recherche (académique) seulement </t>
    </r>
  </si>
  <si>
    <r>
      <t>"As such, this review will continue to be updated
as a living review, with monthly searches and updates triggered as
findings</t>
    </r>
    <r>
      <rPr>
        <b/>
        <sz val="10"/>
        <color theme="1"/>
        <rFont val="Calibri"/>
        <family val="2"/>
        <scheme val="minor"/>
      </rPr>
      <t xml:space="preserve"> become available that could change our concl</t>
    </r>
    <r>
      <rPr>
        <sz val="10"/>
        <color theme="1"/>
        <rFont val="Calibri"/>
        <family val="2"/>
        <scheme val="minor"/>
      </rPr>
      <t>usions", "We make results of our monthly searches publicly available on our dedicated website, in our two monthly updated briefing documents (plain language and policy makers/researchers) and via social media (X)."</t>
    </r>
  </si>
  <si>
    <t xml:space="preserve">
magicapp.org. We will update the living NMA when the question is no longer of clinical 
importance, or new evidence that might impact on the conclusions is unlikely to be 
forthcoming Topic no longer of clinical importance</t>
  </si>
  <si>
    <t>Updated y/n</t>
  </si>
  <si>
    <t>justification</t>
  </si>
  <si>
    <t xml:space="preserve">overall avec formule </t>
  </si>
  <si>
    <t>NR</t>
  </si>
  <si>
    <t>Living_guidelines_associated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</si>
</sst>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16" x14ac:knownFonts="1">
    <font>
      <sz val="11"/>
      <color theme="1"/>
      <name val="Calibri"/>
      <family val="2"/>
      <scheme val="minor"/>
    </font>
    <font>
      <sz val="10"/>
      <color theme="1"/>
      <name val="Calibri"/>
      <family val="2"/>
      <scheme val="minor"/>
    </font>
    <font>
      <b/>
      <sz val="10"/>
      <name val="Calibri"/>
      <family val="2"/>
      <scheme val="minor"/>
    </font>
    <font>
      <u/>
      <sz val="11"/>
      <color theme="10"/>
      <name val="Calibri"/>
      <family val="2"/>
      <scheme val="minor"/>
    </font>
    <font>
      <sz val="8"/>
      <name val="Calibri"/>
      <family val="2"/>
      <scheme val="minor"/>
    </font>
    <font>
      <b/>
      <sz val="10"/>
      <color theme="1"/>
      <name val="Calibri"/>
      <family val="2"/>
      <scheme val="minor"/>
    </font>
    <font>
      <b/>
      <i/>
      <sz val="10"/>
      <name val="Calibri"/>
      <family val="2"/>
      <scheme val="minor"/>
    </font>
    <font>
      <sz val="11"/>
      <color theme="1"/>
      <name val="Calibri"/>
      <family val="2"/>
      <scheme val="minor"/>
    </font>
    <font>
      <b/>
      <sz val="10"/>
      <color rgb="FF7030A0"/>
      <name val="Calibri"/>
      <family val="2"/>
      <scheme val="minor"/>
    </font>
    <font>
      <sz val="11"/>
      <color theme="1"/>
      <name val="Calibri"/>
      <family val="2"/>
    </font>
    <font>
      <b/>
      <sz val="9"/>
      <color rgb="FF000000"/>
      <name val="Tahoma"/>
      <family val="2"/>
    </font>
    <font>
      <sz val="9"/>
      <color rgb="FF000000"/>
      <name val="Tahoma"/>
      <family val="2"/>
    </font>
    <font>
      <sz val="10"/>
      <color theme="1"/>
      <name val="Calibri"/>
      <family val="2"/>
    </font>
    <font>
      <sz val="10"/>
      <color theme="1"/>
      <name val="Calibri (Corps)"/>
    </font>
    <font>
      <u/>
      <sz val="10"/>
      <color theme="1"/>
      <name val="Calibri"/>
      <family val="2"/>
      <scheme val="minor"/>
    </font>
    <font>
      <sz val="10"/>
      <color theme="1"/>
      <name val="Arial Unicode MS"/>
      <family val="2"/>
    </font>
  </fonts>
  <fills count="12">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E9C9FF"/>
        <bgColor indexed="64"/>
      </patternFill>
    </fill>
    <fill>
      <patternFill patternType="solid">
        <fgColor theme="7" tint="0.79998168889431442"/>
        <bgColor indexed="64"/>
      </patternFill>
    </fill>
    <fill>
      <patternFill patternType="solid">
        <fgColor theme="0"/>
        <bgColor indexed="64"/>
      </patternFill>
    </fill>
    <fill>
      <patternFill patternType="solid">
        <fgColor theme="0"/>
        <bgColor rgb="FF000000"/>
      </patternFill>
    </fill>
    <fill>
      <patternFill patternType="solid">
        <fgColor theme="7" tint="0.79998168889431442"/>
        <bgColor rgb="FF000000"/>
      </patternFill>
    </fill>
    <fill>
      <patternFill patternType="solid">
        <fgColor rgb="FF92D050"/>
        <bgColor indexed="64"/>
      </patternFill>
    </fill>
    <fill>
      <patternFill patternType="solid">
        <fgColor rgb="FFFFC000"/>
        <bgColor indexed="64"/>
      </patternFill>
    </fill>
  </fills>
  <borders count="8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ck">
        <color indexed="64"/>
      </right>
      <top/>
      <bottom/>
      <diagonal/>
    </border>
    <border>
      <left style="thin">
        <color indexed="64"/>
      </left>
      <right style="thin">
        <color indexed="64"/>
      </right>
      <top/>
      <bottom/>
      <diagonal/>
    </border>
    <border>
      <left/>
      <right style="hair">
        <color indexed="64"/>
      </right>
      <top/>
      <bottom/>
      <diagonal/>
    </border>
    <border>
      <left style="thin">
        <color indexed="64"/>
      </left>
      <right style="hair">
        <color indexed="64"/>
      </right>
      <top/>
      <bottom/>
      <diagonal/>
    </border>
    <border>
      <left style="hair">
        <color indexed="64"/>
      </left>
      <right/>
      <top/>
      <bottom/>
      <diagonal/>
    </border>
    <border>
      <left style="thin">
        <color indexed="64"/>
      </left>
      <right style="medium">
        <color indexed="64"/>
      </right>
      <top/>
      <bottom/>
      <diagonal/>
    </border>
    <border>
      <left/>
      <right style="medium">
        <color indexed="64"/>
      </right>
      <top/>
      <bottom/>
      <diagonal/>
    </border>
    <border>
      <left style="thin">
        <color indexed="64"/>
      </left>
      <right style="thick">
        <color indexed="64"/>
      </right>
      <top/>
      <bottom/>
      <diagonal/>
    </border>
    <border>
      <left style="medium">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right style="dotted">
        <color indexed="64"/>
      </right>
      <top/>
      <bottom/>
      <diagonal/>
    </border>
    <border>
      <left/>
      <right style="dotted">
        <color indexed="64"/>
      </right>
      <top style="thin">
        <color indexed="64"/>
      </top>
      <bottom style="thin">
        <color indexed="64"/>
      </bottom>
      <diagonal/>
    </border>
    <border>
      <left style="dotted">
        <color indexed="64"/>
      </left>
      <right/>
      <top/>
      <bottom/>
      <diagonal/>
    </border>
    <border>
      <left style="dotted">
        <color indexed="64"/>
      </left>
      <right/>
      <top style="thin">
        <color indexed="64"/>
      </top>
      <bottom style="thin">
        <color indexed="64"/>
      </bottom>
      <diagonal/>
    </border>
    <border>
      <left style="dotted">
        <color indexed="64"/>
      </left>
      <right style="dotted">
        <color indexed="64"/>
      </right>
      <top/>
      <bottom/>
      <diagonal/>
    </border>
    <border>
      <left style="dotted">
        <color indexed="64"/>
      </left>
      <right style="dotted">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hair">
        <color indexed="64"/>
      </left>
      <right style="hair">
        <color indexed="64"/>
      </right>
      <top/>
      <bottom/>
      <diagonal/>
    </border>
    <border>
      <left style="thin">
        <color indexed="64"/>
      </left>
      <right style="thick">
        <color indexed="64"/>
      </right>
      <top style="thin">
        <color indexed="64"/>
      </top>
      <bottom style="thin">
        <color indexed="64"/>
      </bottom>
      <diagonal/>
    </border>
    <border>
      <left style="hair">
        <color indexed="64"/>
      </left>
      <right style="thin">
        <color indexed="64"/>
      </right>
      <top/>
      <bottom/>
      <diagonal/>
    </border>
    <border>
      <left/>
      <right/>
      <top style="thin">
        <color indexed="64"/>
      </top>
      <bottom style="thin">
        <color theme="1"/>
      </bottom>
      <diagonal/>
    </border>
    <border>
      <left/>
      <right style="thin">
        <color indexed="64"/>
      </right>
      <top style="thin">
        <color indexed="64"/>
      </top>
      <bottom style="thin">
        <color theme="1"/>
      </bottom>
      <diagonal/>
    </border>
    <border>
      <left style="dotted">
        <color indexed="64"/>
      </left>
      <right/>
      <top style="thin">
        <color indexed="64"/>
      </top>
      <bottom style="thin">
        <color theme="1"/>
      </bottom>
      <diagonal/>
    </border>
    <border>
      <left style="dotted">
        <color indexed="64"/>
      </left>
      <right style="dotted">
        <color indexed="64"/>
      </right>
      <top style="thin">
        <color indexed="64"/>
      </top>
      <bottom style="thin">
        <color theme="1"/>
      </bottom>
      <diagonal/>
    </border>
    <border>
      <left style="thin">
        <color indexed="64"/>
      </left>
      <right style="thin">
        <color indexed="64"/>
      </right>
      <top style="thin">
        <color indexed="64"/>
      </top>
      <bottom style="thin">
        <color theme="1"/>
      </bottom>
      <diagonal/>
    </border>
    <border>
      <left style="thin">
        <color indexed="64"/>
      </left>
      <right/>
      <top style="thin">
        <color indexed="64"/>
      </top>
      <bottom style="thin">
        <color theme="1"/>
      </bottom>
      <diagonal/>
    </border>
    <border>
      <left/>
      <right style="dotted">
        <color indexed="64"/>
      </right>
      <top style="thin">
        <color indexed="64"/>
      </top>
      <bottom style="thin">
        <color theme="1"/>
      </bottom>
      <diagonal/>
    </border>
    <border>
      <left style="thin">
        <color indexed="64"/>
      </left>
      <right style="thick">
        <color indexed="64"/>
      </right>
      <top style="thin">
        <color indexed="64"/>
      </top>
      <bottom style="thin">
        <color theme="1"/>
      </bottom>
      <diagonal/>
    </border>
    <border>
      <left style="thin">
        <color indexed="64"/>
      </left>
      <right style="medium">
        <color indexed="64"/>
      </right>
      <top style="thin">
        <color indexed="64"/>
      </top>
      <bottom style="thin">
        <color theme="1"/>
      </bottom>
      <diagonal/>
    </border>
    <border>
      <left style="medium">
        <color indexed="64"/>
      </left>
      <right/>
      <top style="thin">
        <color indexed="64"/>
      </top>
      <bottom style="thin">
        <color theme="1"/>
      </bottom>
      <diagonal/>
    </border>
    <border>
      <left/>
      <right style="medium">
        <color indexed="64"/>
      </right>
      <top style="thin">
        <color indexed="64"/>
      </top>
      <bottom style="thin">
        <color theme="1"/>
      </bottom>
      <diagonal/>
    </border>
    <border>
      <left/>
      <right style="hair">
        <color indexed="64"/>
      </right>
      <top style="thin">
        <color indexed="64"/>
      </top>
      <bottom style="thin">
        <color theme="1"/>
      </bottom>
      <diagonal/>
    </border>
    <border>
      <left style="hair">
        <color indexed="64"/>
      </left>
      <right/>
      <top style="thin">
        <color indexed="64"/>
      </top>
      <bottom style="thin">
        <color theme="1"/>
      </bottom>
      <diagonal/>
    </border>
    <border>
      <left/>
      <right/>
      <top style="thin">
        <color theme="1"/>
      </top>
      <bottom style="thin">
        <color theme="1"/>
      </bottom>
      <diagonal/>
    </border>
    <border>
      <left/>
      <right style="thin">
        <color indexed="64"/>
      </right>
      <top style="thin">
        <color theme="1"/>
      </top>
      <bottom style="thin">
        <color theme="1"/>
      </bottom>
      <diagonal/>
    </border>
    <border>
      <left style="thin">
        <color indexed="64"/>
      </left>
      <right/>
      <top style="thin">
        <color theme="1"/>
      </top>
      <bottom style="thin">
        <color theme="1"/>
      </bottom>
      <diagonal/>
    </border>
    <border>
      <left style="dotted">
        <color indexed="64"/>
      </left>
      <right/>
      <top style="thin">
        <color theme="1"/>
      </top>
      <bottom style="thin">
        <color theme="1"/>
      </bottom>
      <diagonal/>
    </border>
    <border>
      <left style="dotted">
        <color indexed="64"/>
      </left>
      <right style="dotted">
        <color indexed="64"/>
      </right>
      <top style="thin">
        <color theme="1"/>
      </top>
      <bottom style="thin">
        <color theme="1"/>
      </bottom>
      <diagonal/>
    </border>
    <border>
      <left style="thin">
        <color indexed="64"/>
      </left>
      <right style="thin">
        <color indexed="64"/>
      </right>
      <top style="thin">
        <color theme="1"/>
      </top>
      <bottom style="thin">
        <color theme="1"/>
      </bottom>
      <diagonal/>
    </border>
    <border>
      <left/>
      <right style="dotted">
        <color indexed="64"/>
      </right>
      <top style="thin">
        <color theme="1"/>
      </top>
      <bottom style="thin">
        <color theme="1"/>
      </bottom>
      <diagonal/>
    </border>
    <border>
      <left style="thin">
        <color indexed="64"/>
      </left>
      <right style="thick">
        <color indexed="64"/>
      </right>
      <top style="thin">
        <color theme="1"/>
      </top>
      <bottom style="thin">
        <color theme="1"/>
      </bottom>
      <diagonal/>
    </border>
    <border>
      <left style="thin">
        <color indexed="64"/>
      </left>
      <right style="medium">
        <color indexed="64"/>
      </right>
      <top style="thin">
        <color theme="1"/>
      </top>
      <bottom style="thin">
        <color theme="1"/>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hair">
        <color indexed="64"/>
      </right>
      <top style="thin">
        <color theme="1"/>
      </top>
      <bottom style="thin">
        <color theme="1"/>
      </bottom>
      <diagonal/>
    </border>
    <border>
      <left style="hair">
        <color indexed="64"/>
      </left>
      <right/>
      <top style="thin">
        <color theme="1"/>
      </top>
      <bottom style="thin">
        <color theme="1"/>
      </bottom>
      <diagonal/>
    </border>
    <border>
      <left/>
      <right/>
      <top style="thin">
        <color theme="1"/>
      </top>
      <bottom style="thin">
        <color indexed="64"/>
      </bottom>
      <diagonal/>
    </border>
    <border>
      <left style="thin">
        <color indexed="64"/>
      </left>
      <right/>
      <top style="thin">
        <color theme="1"/>
      </top>
      <bottom style="thin">
        <color indexed="64"/>
      </bottom>
      <diagonal/>
    </border>
    <border>
      <left/>
      <right style="thin">
        <color indexed="64"/>
      </right>
      <top style="thin">
        <color theme="1"/>
      </top>
      <bottom style="thin">
        <color indexed="64"/>
      </bottom>
      <diagonal/>
    </border>
    <border>
      <left style="dotted">
        <color indexed="64"/>
      </left>
      <right/>
      <top style="thin">
        <color theme="1"/>
      </top>
      <bottom style="thin">
        <color indexed="64"/>
      </bottom>
      <diagonal/>
    </border>
    <border>
      <left style="dotted">
        <color indexed="64"/>
      </left>
      <right style="dotted">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right style="dotted">
        <color indexed="64"/>
      </right>
      <top style="thin">
        <color theme="1"/>
      </top>
      <bottom style="thin">
        <color indexed="64"/>
      </bottom>
      <diagonal/>
    </border>
    <border>
      <left style="thin">
        <color indexed="64"/>
      </left>
      <right style="thick">
        <color indexed="64"/>
      </right>
      <top style="thin">
        <color theme="1"/>
      </top>
      <bottom style="thin">
        <color indexed="64"/>
      </bottom>
      <diagonal/>
    </border>
    <border>
      <left style="thin">
        <color indexed="64"/>
      </left>
      <right style="medium">
        <color indexed="64"/>
      </right>
      <top style="thin">
        <color theme="1"/>
      </top>
      <bottom style="thin">
        <color indexed="64"/>
      </bottom>
      <diagonal/>
    </border>
    <border>
      <left style="medium">
        <color indexed="64"/>
      </left>
      <right/>
      <top style="thin">
        <color theme="1"/>
      </top>
      <bottom style="thin">
        <color indexed="64"/>
      </bottom>
      <diagonal/>
    </border>
    <border>
      <left/>
      <right style="medium">
        <color indexed="64"/>
      </right>
      <top style="thin">
        <color theme="1"/>
      </top>
      <bottom style="thin">
        <color indexed="64"/>
      </bottom>
      <diagonal/>
    </border>
    <border>
      <left/>
      <right style="hair">
        <color indexed="64"/>
      </right>
      <top style="thin">
        <color theme="1"/>
      </top>
      <bottom style="thin">
        <color indexed="64"/>
      </bottom>
      <diagonal/>
    </border>
    <border>
      <left style="hair">
        <color indexed="64"/>
      </left>
      <right/>
      <top style="thin">
        <color theme="1"/>
      </top>
      <bottom style="thin">
        <color indexed="64"/>
      </bottom>
      <diagonal/>
    </border>
    <border>
      <left style="hair">
        <color indexed="64"/>
      </left>
      <right style="medium">
        <color indexed="64"/>
      </right>
      <top/>
      <bottom style="thin">
        <color indexed="64"/>
      </bottom>
      <diagonal/>
    </border>
    <border>
      <left style="hair">
        <color indexed="64"/>
      </left>
      <right style="medium">
        <color indexed="64"/>
      </right>
      <top style="thin">
        <color theme="1"/>
      </top>
      <bottom style="thin">
        <color theme="1"/>
      </bottom>
      <diagonal/>
    </border>
    <border>
      <left style="medium">
        <color indexed="64"/>
      </left>
      <right style="medium">
        <color indexed="64"/>
      </right>
      <top style="thin">
        <color theme="1"/>
      </top>
      <bottom style="thin">
        <color indexed="64"/>
      </bottom>
      <diagonal/>
    </border>
    <border>
      <left style="medium">
        <color indexed="64"/>
      </left>
      <right style="medium">
        <color indexed="64"/>
      </right>
      <top style="thin">
        <color theme="1"/>
      </top>
      <bottom style="thin">
        <color theme="1"/>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theme="1"/>
      </bottom>
      <diagonal/>
    </border>
  </borders>
  <cellStyleXfs count="3">
    <xf numFmtId="0" fontId="0" fillId="0" borderId="0"/>
    <xf numFmtId="0" fontId="3" fillId="0" borderId="0" applyNumberFormat="0" applyFill="0" applyBorder="0" applyAlignment="0" applyProtection="0"/>
    <xf numFmtId="164" fontId="7" fillId="0" borderId="0" applyFont="0" applyFill="0" applyBorder="0" applyAlignment="0" applyProtection="0"/>
  </cellStyleXfs>
  <cellXfs count="167">
    <xf numFmtId="0" fontId="0" fillId="0" borderId="0" xfId="0"/>
    <xf numFmtId="0" fontId="5" fillId="0" borderId="0" xfId="0" applyFont="1"/>
    <xf numFmtId="0" fontId="0" fillId="0" borderId="3" xfId="0" applyBorder="1"/>
    <xf numFmtId="0" fontId="0" fillId="0" borderId="9" xfId="0" applyBorder="1"/>
    <xf numFmtId="0" fontId="0" fillId="0" borderId="7" xfId="0" applyBorder="1"/>
    <xf numFmtId="0" fontId="0" fillId="0" borderId="5" xfId="0" applyBorder="1"/>
    <xf numFmtId="0" fontId="2" fillId="2" borderId="0" xfId="0" applyFont="1" applyFill="1" applyAlignment="1">
      <alignment wrapText="1"/>
    </xf>
    <xf numFmtId="0" fontId="2" fillId="2" borderId="2" xfId="0" applyFont="1" applyFill="1" applyBorder="1" applyAlignment="1">
      <alignment wrapText="1"/>
    </xf>
    <xf numFmtId="0" fontId="2" fillId="2" borderId="3" xfId="0" applyFont="1" applyFill="1" applyBorder="1" applyAlignment="1">
      <alignment wrapText="1"/>
    </xf>
    <xf numFmtId="0" fontId="2" fillId="2" borderId="26" xfId="0" applyFont="1" applyFill="1" applyBorder="1" applyAlignment="1">
      <alignment wrapText="1"/>
    </xf>
    <xf numFmtId="0" fontId="2" fillId="2" borderId="28" xfId="0" applyFont="1" applyFill="1" applyBorder="1" applyAlignment="1">
      <alignment wrapText="1"/>
    </xf>
    <xf numFmtId="0" fontId="2" fillId="2" borderId="6" xfId="0" applyFont="1" applyFill="1" applyBorder="1" applyAlignment="1">
      <alignment wrapText="1"/>
    </xf>
    <xf numFmtId="0" fontId="2" fillId="2" borderId="8" xfId="0" applyFont="1" applyFill="1" applyBorder="1" applyAlignment="1">
      <alignment wrapText="1"/>
    </xf>
    <xf numFmtId="0" fontId="2" fillId="2" borderId="24" xfId="0" applyFont="1" applyFill="1" applyBorder="1" applyAlignment="1">
      <alignment horizontal="center" wrapText="1"/>
    </xf>
    <xf numFmtId="0" fontId="2" fillId="2" borderId="7" xfId="0" applyFont="1" applyFill="1" applyBorder="1" applyAlignment="1">
      <alignment wrapText="1"/>
    </xf>
    <xf numFmtId="0" fontId="2" fillId="2" borderId="12" xfId="0" applyFont="1" applyFill="1" applyBorder="1" applyAlignment="1">
      <alignment wrapText="1"/>
    </xf>
    <xf numFmtId="0" fontId="2" fillId="3" borderId="0" xfId="0" applyFont="1" applyFill="1" applyAlignment="1">
      <alignment wrapText="1"/>
    </xf>
    <xf numFmtId="0" fontId="2" fillId="3" borderId="24" xfId="0" applyFont="1" applyFill="1" applyBorder="1" applyAlignment="1">
      <alignment wrapText="1"/>
    </xf>
    <xf numFmtId="0" fontId="2" fillId="3" borderId="7" xfId="0" applyFont="1" applyFill="1" applyBorder="1" applyAlignment="1">
      <alignment wrapText="1"/>
    </xf>
    <xf numFmtId="0" fontId="2" fillId="3" borderId="2" xfId="0" applyFont="1" applyFill="1" applyBorder="1" applyAlignment="1">
      <alignment wrapText="1"/>
    </xf>
    <xf numFmtId="0" fontId="2" fillId="3" borderId="3" xfId="0" applyFont="1" applyFill="1" applyBorder="1" applyAlignment="1">
      <alignment wrapText="1"/>
    </xf>
    <xf numFmtId="0" fontId="2" fillId="3" borderId="10" xfId="0" applyFont="1" applyFill="1" applyBorder="1" applyAlignment="1">
      <alignment wrapText="1"/>
    </xf>
    <xf numFmtId="165" fontId="2" fillId="5" borderId="13" xfId="2" applyNumberFormat="1" applyFont="1" applyFill="1" applyBorder="1" applyAlignment="1">
      <alignment wrapText="1"/>
    </xf>
    <xf numFmtId="1" fontId="2" fillId="5" borderId="24" xfId="0" applyNumberFormat="1" applyFont="1" applyFill="1" applyBorder="1" applyAlignment="1">
      <alignment wrapText="1"/>
    </xf>
    <xf numFmtId="1" fontId="6" fillId="5" borderId="0" xfId="0" applyNumberFormat="1" applyFont="1" applyFill="1" applyAlignment="1">
      <alignment horizontal="left" wrapText="1"/>
    </xf>
    <xf numFmtId="1" fontId="6" fillId="5" borderId="11" xfId="0" applyNumberFormat="1" applyFont="1" applyFill="1" applyBorder="1" applyAlignment="1">
      <alignment horizontal="left" wrapText="1"/>
    </xf>
    <xf numFmtId="0" fontId="2" fillId="4" borderId="0" xfId="0" applyFont="1" applyFill="1" applyAlignment="1">
      <alignment wrapText="1"/>
    </xf>
    <xf numFmtId="0" fontId="2" fillId="4" borderId="3" xfId="0" applyFont="1" applyFill="1" applyBorder="1" applyAlignment="1">
      <alignment wrapText="1"/>
    </xf>
    <xf numFmtId="0" fontId="2" fillId="4" borderId="24" xfId="0" applyFont="1" applyFill="1" applyBorder="1" applyAlignment="1">
      <alignment wrapText="1"/>
    </xf>
    <xf numFmtId="0" fontId="2" fillId="4" borderId="7" xfId="0" applyFont="1" applyFill="1" applyBorder="1" applyAlignment="1">
      <alignment wrapText="1"/>
    </xf>
    <xf numFmtId="0" fontId="2" fillId="4" borderId="9" xfId="0" applyFont="1" applyFill="1" applyBorder="1" applyAlignment="1">
      <alignment wrapText="1"/>
    </xf>
    <xf numFmtId="0" fontId="2" fillId="4" borderId="31" xfId="0" applyFont="1" applyFill="1" applyBorder="1" applyAlignment="1">
      <alignment wrapText="1"/>
    </xf>
    <xf numFmtId="0" fontId="2" fillId="4" borderId="33" xfId="0" applyFont="1" applyFill="1" applyBorder="1" applyAlignment="1">
      <alignment wrapText="1"/>
    </xf>
    <xf numFmtId="0" fontId="2" fillId="4" borderId="2" xfId="0" applyFont="1" applyFill="1" applyBorder="1" applyAlignment="1">
      <alignment wrapText="1"/>
    </xf>
    <xf numFmtId="0" fontId="2" fillId="4" borderId="6" xfId="0" applyFont="1" applyFill="1" applyBorder="1" applyAlignment="1">
      <alignment wrapText="1"/>
    </xf>
    <xf numFmtId="0" fontId="5" fillId="6" borderId="0" xfId="0" applyFont="1" applyFill="1"/>
    <xf numFmtId="0" fontId="5" fillId="6" borderId="16" xfId="0" applyFont="1" applyFill="1" applyBorder="1"/>
    <xf numFmtId="0" fontId="5" fillId="6" borderId="17" xfId="0" applyFont="1" applyFill="1" applyBorder="1"/>
    <xf numFmtId="0" fontId="5" fillId="6" borderId="4" xfId="0" applyFont="1" applyFill="1" applyBorder="1"/>
    <xf numFmtId="0" fontId="5" fillId="6" borderId="14" xfId="0" applyFont="1" applyFill="1" applyBorder="1"/>
    <xf numFmtId="0" fontId="8" fillId="6" borderId="1" xfId="0" applyFont="1" applyFill="1" applyBorder="1"/>
    <xf numFmtId="0" fontId="8" fillId="6" borderId="0" xfId="0" applyFont="1" applyFill="1"/>
    <xf numFmtId="0" fontId="1" fillId="6" borderId="0" xfId="0" applyFont="1" applyFill="1"/>
    <xf numFmtId="0" fontId="8" fillId="6" borderId="14" xfId="0" applyFont="1" applyFill="1" applyBorder="1"/>
    <xf numFmtId="0" fontId="5" fillId="6" borderId="15" xfId="0" applyFont="1" applyFill="1" applyBorder="1"/>
    <xf numFmtId="0" fontId="5" fillId="6" borderId="19" xfId="0" applyFont="1" applyFill="1" applyBorder="1"/>
    <xf numFmtId="0" fontId="8" fillId="6" borderId="4" xfId="0" applyFont="1" applyFill="1" applyBorder="1"/>
    <xf numFmtId="0" fontId="8" fillId="6" borderId="17" xfId="0" applyFont="1" applyFill="1" applyBorder="1"/>
    <xf numFmtId="0" fontId="8" fillId="6" borderId="16" xfId="0" applyFont="1" applyFill="1" applyBorder="1"/>
    <xf numFmtId="0" fontId="2" fillId="6" borderId="18" xfId="0" applyFont="1" applyFill="1" applyBorder="1"/>
    <xf numFmtId="0" fontId="5" fillId="7" borderId="16" xfId="0" applyFont="1" applyFill="1" applyBorder="1"/>
    <xf numFmtId="0" fontId="1" fillId="7" borderId="16" xfId="0" applyFont="1" applyFill="1" applyBorder="1"/>
    <xf numFmtId="14" fontId="1" fillId="7" borderId="16" xfId="0" applyNumberFormat="1" applyFont="1" applyFill="1" applyBorder="1"/>
    <xf numFmtId="0" fontId="1" fillId="7" borderId="18" xfId="0" applyFont="1" applyFill="1" applyBorder="1"/>
    <xf numFmtId="0" fontId="1" fillId="7" borderId="17" xfId="0" applyFont="1" applyFill="1" applyBorder="1"/>
    <xf numFmtId="0" fontId="1" fillId="7" borderId="27" xfId="0" applyFont="1" applyFill="1" applyBorder="1"/>
    <xf numFmtId="0" fontId="1" fillId="7" borderId="29" xfId="0" applyFont="1" applyFill="1" applyBorder="1"/>
    <xf numFmtId="0" fontId="1" fillId="7" borderId="19" xfId="0" applyFont="1" applyFill="1" applyBorder="1"/>
    <xf numFmtId="0" fontId="1" fillId="7" borderId="32" xfId="0" applyFont="1" applyFill="1" applyBorder="1"/>
    <xf numFmtId="0" fontId="1" fillId="7" borderId="25" xfId="0" applyFont="1" applyFill="1" applyBorder="1"/>
    <xf numFmtId="0" fontId="1" fillId="7" borderId="30" xfId="0" applyFont="1" applyFill="1" applyBorder="1"/>
    <xf numFmtId="165" fontId="1" fillId="7" borderId="20" xfId="2" applyNumberFormat="1" applyFont="1" applyFill="1" applyBorder="1" applyAlignment="1"/>
    <xf numFmtId="0" fontId="1" fillId="7" borderId="21" xfId="0" applyFont="1" applyFill="1" applyBorder="1"/>
    <xf numFmtId="0" fontId="1" fillId="7" borderId="23" xfId="0" applyFont="1" applyFill="1" applyBorder="1"/>
    <xf numFmtId="0" fontId="1" fillId="7" borderId="22" xfId="0" applyFont="1" applyFill="1" applyBorder="1"/>
    <xf numFmtId="0" fontId="13" fillId="7" borderId="16" xfId="0" applyFont="1" applyFill="1" applyBorder="1"/>
    <xf numFmtId="0" fontId="9" fillId="7" borderId="16" xfId="0" applyFont="1" applyFill="1" applyBorder="1"/>
    <xf numFmtId="0" fontId="5" fillId="7" borderId="34" xfId="0" applyFont="1" applyFill="1" applyBorder="1"/>
    <xf numFmtId="0" fontId="1" fillId="7" borderId="34" xfId="0" applyFont="1" applyFill="1" applyBorder="1"/>
    <xf numFmtId="14" fontId="1" fillId="7" borderId="34" xfId="0" applyNumberFormat="1" applyFont="1" applyFill="1" applyBorder="1"/>
    <xf numFmtId="0" fontId="1" fillId="7" borderId="35" xfId="0" applyFont="1" applyFill="1" applyBorder="1"/>
    <xf numFmtId="0" fontId="1" fillId="7" borderId="36" xfId="0" applyFont="1" applyFill="1" applyBorder="1"/>
    <xf numFmtId="0" fontId="1" fillId="7" borderId="37" xfId="0" applyFont="1" applyFill="1" applyBorder="1"/>
    <xf numFmtId="0" fontId="1" fillId="7" borderId="38" xfId="0" applyFont="1" applyFill="1" applyBorder="1"/>
    <xf numFmtId="0" fontId="1" fillId="7" borderId="39" xfId="0" applyFont="1" applyFill="1" applyBorder="1"/>
    <xf numFmtId="0" fontId="1" fillId="7" borderId="41" xfId="0" applyFont="1" applyFill="1" applyBorder="1"/>
    <xf numFmtId="0" fontId="1" fillId="7" borderId="40" xfId="0" applyFont="1" applyFill="1" applyBorder="1"/>
    <xf numFmtId="0" fontId="1" fillId="7" borderId="42" xfId="0" applyFont="1" applyFill="1" applyBorder="1"/>
    <xf numFmtId="165" fontId="1" fillId="7" borderId="43" xfId="2" applyNumberFormat="1" applyFont="1" applyFill="1" applyBorder="1" applyAlignment="1"/>
    <xf numFmtId="0" fontId="1" fillId="7" borderId="44" xfId="0" applyFont="1" applyFill="1" applyBorder="1"/>
    <xf numFmtId="0" fontId="1" fillId="7" borderId="45" xfId="0" applyFont="1" applyFill="1" applyBorder="1"/>
    <xf numFmtId="0" fontId="1" fillId="7" borderId="46" xfId="0" applyFont="1" applyFill="1" applyBorder="1"/>
    <xf numFmtId="0" fontId="13" fillId="7" borderId="34" xfId="0" applyFont="1" applyFill="1" applyBorder="1"/>
    <xf numFmtId="0" fontId="5" fillId="7" borderId="47" xfId="0" applyFont="1" applyFill="1" applyBorder="1"/>
    <xf numFmtId="0" fontId="1" fillId="7" borderId="47" xfId="0" applyFont="1" applyFill="1" applyBorder="1"/>
    <xf numFmtId="14" fontId="1" fillId="7" borderId="47" xfId="0" applyNumberFormat="1" applyFont="1" applyFill="1" applyBorder="1"/>
    <xf numFmtId="0" fontId="1" fillId="7" borderId="48" xfId="0" applyFont="1" applyFill="1" applyBorder="1"/>
    <xf numFmtId="0" fontId="1" fillId="7" borderId="49" xfId="0" applyFont="1" applyFill="1" applyBorder="1"/>
    <xf numFmtId="0" fontId="1" fillId="7" borderId="50" xfId="0" applyFont="1" applyFill="1" applyBorder="1"/>
    <xf numFmtId="0" fontId="1" fillId="7" borderId="51" xfId="0" applyFont="1" applyFill="1" applyBorder="1"/>
    <xf numFmtId="0" fontId="1" fillId="7" borderId="52" xfId="0" applyFont="1" applyFill="1" applyBorder="1"/>
    <xf numFmtId="0" fontId="1" fillId="7" borderId="54" xfId="0" applyFont="1" applyFill="1" applyBorder="1"/>
    <xf numFmtId="0" fontId="1" fillId="7" borderId="53" xfId="0" applyFont="1" applyFill="1" applyBorder="1"/>
    <xf numFmtId="0" fontId="1" fillId="7" borderId="55" xfId="0" applyFont="1" applyFill="1" applyBorder="1"/>
    <xf numFmtId="165" fontId="1" fillId="7" borderId="56" xfId="2" applyNumberFormat="1" applyFont="1" applyFill="1" applyBorder="1" applyAlignment="1"/>
    <xf numFmtId="0" fontId="1" fillId="7" borderId="57" xfId="0" applyFont="1" applyFill="1" applyBorder="1"/>
    <xf numFmtId="0" fontId="1" fillId="7" borderId="58" xfId="0" applyFont="1" applyFill="1" applyBorder="1"/>
    <xf numFmtId="0" fontId="1" fillId="7" borderId="59" xfId="0" applyFont="1" applyFill="1" applyBorder="1"/>
    <xf numFmtId="0" fontId="1" fillId="8" borderId="47" xfId="0" applyFont="1" applyFill="1" applyBorder="1"/>
    <xf numFmtId="0" fontId="1" fillId="8" borderId="48" xfId="0" applyFont="1" applyFill="1" applyBorder="1"/>
    <xf numFmtId="0" fontId="13" fillId="7" borderId="47" xfId="0" applyFont="1" applyFill="1" applyBorder="1"/>
    <xf numFmtId="1" fontId="1" fillId="7" borderId="53" xfId="0" applyNumberFormat="1" applyFont="1" applyFill="1" applyBorder="1"/>
    <xf numFmtId="0" fontId="12" fillId="7" borderId="48" xfId="0" applyFont="1" applyFill="1" applyBorder="1"/>
    <xf numFmtId="0" fontId="12" fillId="7" borderId="47" xfId="0" applyFont="1" applyFill="1" applyBorder="1"/>
    <xf numFmtId="0" fontId="0" fillId="7" borderId="47" xfId="0" applyFill="1" applyBorder="1"/>
    <xf numFmtId="0" fontId="14" fillId="7" borderId="47" xfId="1" applyFont="1" applyFill="1" applyBorder="1" applyAlignment="1"/>
    <xf numFmtId="0" fontId="5" fillId="7" borderId="60" xfId="0" applyFont="1" applyFill="1" applyBorder="1"/>
    <xf numFmtId="0" fontId="1" fillId="7" borderId="60" xfId="0" applyFont="1" applyFill="1" applyBorder="1"/>
    <xf numFmtId="14" fontId="1" fillId="7" borderId="60" xfId="0" applyNumberFormat="1" applyFont="1" applyFill="1" applyBorder="1"/>
    <xf numFmtId="0" fontId="1" fillId="7" borderId="61" xfId="0" applyFont="1" applyFill="1" applyBorder="1"/>
    <xf numFmtId="0" fontId="1" fillId="7" borderId="62" xfId="0" applyFont="1" applyFill="1" applyBorder="1"/>
    <xf numFmtId="0" fontId="1" fillId="7" borderId="63" xfId="0" applyFont="1" applyFill="1" applyBorder="1"/>
    <xf numFmtId="0" fontId="1" fillId="7" borderId="64" xfId="0" applyFont="1" applyFill="1" applyBorder="1"/>
    <xf numFmtId="0" fontId="1" fillId="7" borderId="65" xfId="0" applyFont="1" applyFill="1" applyBorder="1"/>
    <xf numFmtId="0" fontId="1" fillId="7" borderId="67" xfId="0" applyFont="1" applyFill="1" applyBorder="1"/>
    <xf numFmtId="0" fontId="1" fillId="7" borderId="66" xfId="0" applyFont="1" applyFill="1" applyBorder="1"/>
    <xf numFmtId="0" fontId="1" fillId="7" borderId="68" xfId="0" applyFont="1" applyFill="1" applyBorder="1"/>
    <xf numFmtId="165" fontId="1" fillId="7" borderId="69" xfId="2" applyNumberFormat="1" applyFont="1" applyFill="1" applyBorder="1" applyAlignment="1"/>
    <xf numFmtId="0" fontId="1" fillId="7" borderId="70" xfId="0" applyFont="1" applyFill="1" applyBorder="1"/>
    <xf numFmtId="0" fontId="1" fillId="7" borderId="71" xfId="0" applyFont="1" applyFill="1" applyBorder="1"/>
    <xf numFmtId="0" fontId="1" fillId="7" borderId="72" xfId="0" applyFont="1" applyFill="1" applyBorder="1"/>
    <xf numFmtId="0" fontId="0" fillId="7" borderId="60" xfId="0" applyFill="1" applyBorder="1"/>
    <xf numFmtId="0" fontId="13" fillId="7" borderId="60" xfId="0" applyFont="1" applyFill="1" applyBorder="1"/>
    <xf numFmtId="0" fontId="1" fillId="7" borderId="58" xfId="0" applyFont="1" applyFill="1" applyBorder="1" applyAlignment="1">
      <alignment wrapText="1"/>
    </xf>
    <xf numFmtId="0" fontId="2" fillId="4" borderId="73" xfId="0" applyFont="1" applyFill="1" applyBorder="1" applyAlignment="1">
      <alignment wrapText="1"/>
    </xf>
    <xf numFmtId="0" fontId="1" fillId="7" borderId="74" xfId="0" applyFont="1" applyFill="1" applyBorder="1"/>
    <xf numFmtId="0" fontId="1" fillId="7" borderId="76" xfId="0" applyFont="1" applyFill="1" applyBorder="1"/>
    <xf numFmtId="0" fontId="1" fillId="7" borderId="75" xfId="0" applyFont="1" applyFill="1" applyBorder="1"/>
    <xf numFmtId="0" fontId="2" fillId="4" borderId="77" xfId="0" applyFont="1" applyFill="1" applyBorder="1" applyAlignment="1">
      <alignment wrapText="1"/>
    </xf>
    <xf numFmtId="0" fontId="1" fillId="7" borderId="78" xfId="0" applyFont="1" applyFill="1" applyBorder="1"/>
    <xf numFmtId="0" fontId="1" fillId="7" borderId="79" xfId="0" applyFont="1" applyFill="1" applyBorder="1"/>
    <xf numFmtId="0" fontId="2" fillId="3" borderId="13" xfId="0" applyFont="1" applyFill="1" applyBorder="1" applyAlignment="1">
      <alignment wrapText="1"/>
    </xf>
    <xf numFmtId="0" fontId="1" fillId="7" borderId="20" xfId="0" applyFont="1" applyFill="1" applyBorder="1"/>
    <xf numFmtId="0" fontId="1" fillId="7" borderId="43" xfId="0" applyFont="1" applyFill="1" applyBorder="1"/>
    <xf numFmtId="0" fontId="1" fillId="8" borderId="56" xfId="0" applyFont="1" applyFill="1" applyBorder="1"/>
    <xf numFmtId="0" fontId="1" fillId="7" borderId="56" xfId="0" applyFont="1" applyFill="1" applyBorder="1"/>
    <xf numFmtId="0" fontId="12" fillId="7" borderId="56" xfId="0" applyFont="1" applyFill="1" applyBorder="1"/>
    <xf numFmtId="0" fontId="12" fillId="7" borderId="57" xfId="0" applyFont="1" applyFill="1" applyBorder="1"/>
    <xf numFmtId="0" fontId="1" fillId="7" borderId="69" xfId="0" applyFont="1" applyFill="1" applyBorder="1"/>
    <xf numFmtId="0" fontId="2" fillId="3" borderId="11" xfId="0" applyFont="1" applyFill="1" applyBorder="1" applyAlignment="1">
      <alignment wrapText="1"/>
    </xf>
    <xf numFmtId="0" fontId="1" fillId="8" borderId="57" xfId="0" applyFont="1" applyFill="1" applyBorder="1"/>
    <xf numFmtId="0" fontId="15" fillId="0" borderId="0" xfId="0" applyFont="1"/>
    <xf numFmtId="0" fontId="1" fillId="6" borderId="21" xfId="0" applyFont="1" applyFill="1" applyBorder="1"/>
    <xf numFmtId="0" fontId="1" fillId="6" borderId="44" xfId="0" applyFont="1" applyFill="1" applyBorder="1"/>
    <xf numFmtId="0" fontId="1" fillId="9" borderId="57" xfId="0" applyFont="1" applyFill="1" applyBorder="1"/>
    <xf numFmtId="0" fontId="1" fillId="6" borderId="57" xfId="0" applyFont="1" applyFill="1" applyBorder="1"/>
    <xf numFmtId="0" fontId="1" fillId="0" borderId="0" xfId="0" applyFont="1"/>
    <xf numFmtId="0" fontId="1" fillId="3" borderId="18" xfId="0" applyFont="1" applyFill="1" applyBorder="1"/>
    <xf numFmtId="0" fontId="1" fillId="3" borderId="16" xfId="0" applyFont="1" applyFill="1" applyBorder="1"/>
    <xf numFmtId="14" fontId="1" fillId="3" borderId="25" xfId="0" applyNumberFormat="1" applyFont="1" applyFill="1" applyBorder="1"/>
    <xf numFmtId="0" fontId="1" fillId="3" borderId="39" xfId="0" applyFont="1" applyFill="1" applyBorder="1"/>
    <xf numFmtId="0" fontId="1" fillId="3" borderId="34" xfId="0" applyFont="1" applyFill="1" applyBorder="1"/>
    <xf numFmtId="14" fontId="1" fillId="3" borderId="40" xfId="0" applyNumberFormat="1" applyFont="1" applyFill="1" applyBorder="1"/>
    <xf numFmtId="0" fontId="1" fillId="3" borderId="61" xfId="0" applyFont="1" applyFill="1" applyBorder="1"/>
    <xf numFmtId="0" fontId="1" fillId="3" borderId="60" xfId="0" applyFont="1" applyFill="1" applyBorder="1"/>
    <xf numFmtId="14" fontId="1" fillId="3" borderId="66" xfId="0" applyNumberFormat="1" applyFont="1" applyFill="1" applyBorder="1"/>
    <xf numFmtId="0" fontId="1" fillId="3" borderId="49" xfId="0" applyFont="1" applyFill="1" applyBorder="1"/>
    <xf numFmtId="0" fontId="1" fillId="3" borderId="47" xfId="0" applyFont="1" applyFill="1" applyBorder="1"/>
    <xf numFmtId="14" fontId="1" fillId="3" borderId="53" xfId="0" applyNumberFormat="1" applyFont="1" applyFill="1" applyBorder="1"/>
    <xf numFmtId="0" fontId="1" fillId="10" borderId="47" xfId="0" applyFont="1" applyFill="1" applyBorder="1"/>
    <xf numFmtId="0" fontId="1" fillId="11" borderId="49" xfId="0" applyFont="1" applyFill="1" applyBorder="1"/>
    <xf numFmtId="0" fontId="1" fillId="11" borderId="47" xfId="0" applyFont="1" applyFill="1" applyBorder="1"/>
    <xf numFmtId="0" fontId="1" fillId="11" borderId="53" xfId="0" applyFont="1" applyFill="1" applyBorder="1"/>
    <xf numFmtId="0" fontId="1" fillId="4" borderId="16" xfId="0" applyFont="1" applyFill="1" applyBorder="1"/>
    <xf numFmtId="0" fontId="1" fillId="4" borderId="47" xfId="0" applyFont="1" applyFill="1" applyBorder="1"/>
    <xf numFmtId="0" fontId="1" fillId="4" borderId="49" xfId="0" applyFont="1" applyFill="1" applyBorder="1"/>
    <xf numFmtId="0" fontId="5" fillId="7" borderId="19" xfId="0" applyFont="1" applyFill="1" applyBorder="1"/>
  </cellXfs>
  <cellStyles count="3">
    <cellStyle name="Lien hypertexte" xfId="1" builtinId="8"/>
    <cellStyle name="Milliers" xfId="2" builtinId="3"/>
    <cellStyle name="Normal" xfId="0" builtinId="0"/>
  </cellStyles>
  <dxfs count="1">
    <dxf>
      <fill>
        <patternFill>
          <bgColor theme="7"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www.covid19lnm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3D6D8-333D-4ED0-8184-DAF8986229E9}">
  <dimension ref="A1:JH48"/>
  <sheetViews>
    <sheetView tabSelected="1" zoomScale="91" zoomScaleNormal="140" workbookViewId="0">
      <pane xSplit="1" ySplit="1" topLeftCell="B2" activePane="bottomRight" state="frozen"/>
      <selection pane="topRight" activeCell="C1" sqref="C1"/>
      <selection pane="bottomLeft" activeCell="A7" sqref="A7"/>
      <selection pane="bottomRight" activeCell="JI6" sqref="JI6"/>
    </sheetView>
  </sheetViews>
  <sheetFormatPr baseColWidth="10" defaultRowHeight="15" x14ac:dyDescent="0.2"/>
  <cols>
    <col min="1" max="1" width="5" customWidth="1"/>
    <col min="4" max="8" width="10.83203125" customWidth="1"/>
    <col min="9" max="9" width="9.6640625" customWidth="1"/>
    <col min="10" max="14" width="11.5" customWidth="1"/>
    <col min="15" max="15" width="11.5" style="2" customWidth="1"/>
    <col min="16" max="43" width="11.5" customWidth="1"/>
    <col min="44" max="44" width="11.5" style="5" customWidth="1"/>
    <col min="45" max="60" width="11.5" customWidth="1"/>
    <col min="61" max="64" width="13.5" customWidth="1"/>
    <col min="65" max="65" width="13.1640625" customWidth="1"/>
    <col min="66" max="68" width="13.6640625" customWidth="1"/>
    <col min="69" max="69" width="54.83203125" customWidth="1"/>
    <col min="70" max="70" width="13.5" customWidth="1"/>
    <col min="71" max="71" width="96.5" customWidth="1"/>
    <col min="72" max="72" width="13.5" customWidth="1"/>
    <col min="73" max="73" width="17.5" customWidth="1"/>
    <col min="74" max="74" width="13.5" customWidth="1"/>
    <col min="75" max="75" width="26.6640625" customWidth="1"/>
    <col min="76" max="76" width="21.33203125" customWidth="1"/>
    <col min="77" max="77" width="13.6640625" customWidth="1"/>
    <col min="78" max="78" width="87" customWidth="1"/>
    <col min="79" max="79" width="13.6640625" customWidth="1"/>
    <col min="80" max="80" width="13.5" customWidth="1"/>
    <col min="81" max="82" width="13.6640625" customWidth="1"/>
    <col min="83" max="98" width="10.83203125" customWidth="1"/>
    <col min="99" max="99" width="10.83203125" style="3" customWidth="1"/>
    <col min="100" max="100" width="10.83203125" customWidth="1"/>
    <col min="101" max="102" width="10.83203125" style="3" customWidth="1"/>
    <col min="103" max="106" width="10.83203125" customWidth="1"/>
    <col min="107" max="107" width="10.83203125" style="3" customWidth="1"/>
    <col min="108" max="108" width="10.83203125" customWidth="1"/>
    <col min="109" max="110" width="10.83203125" style="3" customWidth="1"/>
    <col min="111" max="113" width="10.83203125" customWidth="1"/>
    <col min="114" max="114" width="10.83203125" style="4" customWidth="1"/>
    <col min="115" max="116" width="10.83203125" customWidth="1"/>
    <col min="117" max="118" width="10.83203125" style="3" customWidth="1"/>
    <col min="119" max="122" width="10.83203125" customWidth="1"/>
    <col min="123" max="123" width="10.83203125" style="3" customWidth="1"/>
    <col min="124" max="133" width="10.83203125" customWidth="1"/>
    <col min="134" max="134" width="10.83203125" style="3" customWidth="1"/>
    <col min="135" max="138" width="10.83203125" customWidth="1"/>
    <col min="139" max="139" width="19.1640625" customWidth="1"/>
    <col min="140" max="140" width="18" style="3" customWidth="1"/>
    <col min="141" max="141" width="17" customWidth="1"/>
    <col min="142" max="142" width="20.1640625" customWidth="1"/>
    <col min="143" max="143" width="14.33203125" customWidth="1"/>
    <col min="144" max="144" width="17.5" style="4" customWidth="1"/>
    <col min="145" max="145" width="26" style="4" customWidth="1"/>
    <col min="146" max="147" width="24.33203125" customWidth="1"/>
    <col min="148" max="149" width="13.6640625" customWidth="1"/>
    <col min="150" max="150" width="11.5" customWidth="1"/>
    <col min="151" max="151" width="13" customWidth="1"/>
    <col min="152" max="152" width="13.5" style="2" customWidth="1"/>
    <col min="153" max="154" width="13.5" customWidth="1"/>
    <col min="155" max="157" width="10.83203125" customWidth="1"/>
    <col min="158" max="158" width="10.83203125" style="2" customWidth="1"/>
    <col min="159" max="267" width="10.83203125" customWidth="1"/>
  </cols>
  <sheetData>
    <row r="1" spans="1:268" s="1" customFormat="1" ht="60" x14ac:dyDescent="0.2">
      <c r="A1" s="6" t="s">
        <v>2</v>
      </c>
      <c r="B1" s="6" t="s">
        <v>3</v>
      </c>
      <c r="C1" s="6" t="s">
        <v>4</v>
      </c>
      <c r="D1" s="6" t="s">
        <v>5</v>
      </c>
      <c r="E1" s="6" t="s">
        <v>6</v>
      </c>
      <c r="F1" s="6" t="s">
        <v>7</v>
      </c>
      <c r="G1" s="6" t="s">
        <v>8</v>
      </c>
      <c r="H1" s="6" t="s">
        <v>9</v>
      </c>
      <c r="I1" s="6" t="s">
        <v>10</v>
      </c>
      <c r="J1" s="7" t="s">
        <v>11</v>
      </c>
      <c r="K1" s="8" t="s">
        <v>12</v>
      </c>
      <c r="L1" s="6" t="s">
        <v>0</v>
      </c>
      <c r="M1" s="8" t="s">
        <v>13</v>
      </c>
      <c r="N1" s="6" t="s">
        <v>1</v>
      </c>
      <c r="O1" s="8" t="s">
        <v>14</v>
      </c>
      <c r="P1" s="6" t="s">
        <v>15</v>
      </c>
      <c r="Q1" s="6" t="s">
        <v>16</v>
      </c>
      <c r="R1" s="9" t="s">
        <v>17</v>
      </c>
      <c r="S1" s="6" t="s">
        <v>18</v>
      </c>
      <c r="T1" s="9" t="s">
        <v>19</v>
      </c>
      <c r="U1" s="6" t="s">
        <v>20</v>
      </c>
      <c r="V1" s="6" t="s">
        <v>21</v>
      </c>
      <c r="W1" s="6" t="s">
        <v>22</v>
      </c>
      <c r="X1" s="6" t="s">
        <v>23</v>
      </c>
      <c r="Y1" s="6" t="s">
        <v>24</v>
      </c>
      <c r="Z1" s="6" t="s">
        <v>25</v>
      </c>
      <c r="AA1" s="10" t="s">
        <v>26</v>
      </c>
      <c r="AB1" s="6" t="s">
        <v>709</v>
      </c>
      <c r="AC1" s="6" t="s">
        <v>27</v>
      </c>
      <c r="AD1" s="6" t="s">
        <v>28</v>
      </c>
      <c r="AE1" s="6" t="s">
        <v>29</v>
      </c>
      <c r="AF1" s="10" t="s">
        <v>30</v>
      </c>
      <c r="AG1" s="6" t="s">
        <v>31</v>
      </c>
      <c r="AH1" s="11" t="s">
        <v>32</v>
      </c>
      <c r="AI1" s="8" t="s">
        <v>33</v>
      </c>
      <c r="AJ1" s="12" t="s">
        <v>34</v>
      </c>
      <c r="AK1" s="6" t="s">
        <v>35</v>
      </c>
      <c r="AL1" s="13" t="s">
        <v>36</v>
      </c>
      <c r="AM1" s="14" t="s">
        <v>37</v>
      </c>
      <c r="AN1" s="6" t="s">
        <v>38</v>
      </c>
      <c r="AO1" s="14" t="s">
        <v>39</v>
      </c>
      <c r="AP1" s="14" t="s">
        <v>40</v>
      </c>
      <c r="AQ1" s="8" t="s">
        <v>41</v>
      </c>
      <c r="AR1" s="15" t="s">
        <v>42</v>
      </c>
      <c r="AS1" s="16" t="s">
        <v>43</v>
      </c>
      <c r="AT1" s="16" t="s">
        <v>44</v>
      </c>
      <c r="AU1" s="16" t="s">
        <v>45</v>
      </c>
      <c r="AV1" s="16" t="s">
        <v>46</v>
      </c>
      <c r="AW1" s="16" t="s">
        <v>47</v>
      </c>
      <c r="AX1" s="16" t="s">
        <v>48</v>
      </c>
      <c r="AY1" s="17" t="s">
        <v>49</v>
      </c>
      <c r="AZ1" s="18" t="s">
        <v>50</v>
      </c>
      <c r="BA1" s="16" t="s">
        <v>51</v>
      </c>
      <c r="BB1" s="16" t="s">
        <v>52</v>
      </c>
      <c r="BC1" s="16" t="s">
        <v>53</v>
      </c>
      <c r="BD1" s="16" t="s">
        <v>54</v>
      </c>
      <c r="BE1" s="16" t="s">
        <v>720</v>
      </c>
      <c r="BF1" s="16" t="s">
        <v>55</v>
      </c>
      <c r="BG1" s="19" t="s">
        <v>56</v>
      </c>
      <c r="BH1" s="16" t="s">
        <v>57</v>
      </c>
      <c r="BI1" s="16" t="s">
        <v>58</v>
      </c>
      <c r="BJ1" s="20" t="s">
        <v>59</v>
      </c>
      <c r="BK1" s="16" t="s">
        <v>60</v>
      </c>
      <c r="BL1" s="16" t="s">
        <v>61</v>
      </c>
      <c r="BM1" s="19" t="s">
        <v>62</v>
      </c>
      <c r="BN1" s="16" t="s">
        <v>63</v>
      </c>
      <c r="BO1" s="16" t="s">
        <v>64</v>
      </c>
      <c r="BP1" s="16" t="s">
        <v>65</v>
      </c>
      <c r="BQ1" s="16" t="s">
        <v>66</v>
      </c>
      <c r="BR1" s="16" t="s">
        <v>67</v>
      </c>
      <c r="BS1" s="16" t="s">
        <v>68</v>
      </c>
      <c r="BT1" s="19" t="s">
        <v>69</v>
      </c>
      <c r="BU1" s="16" t="s">
        <v>70</v>
      </c>
      <c r="BV1" s="16" t="s">
        <v>71</v>
      </c>
      <c r="BW1" s="17" t="s">
        <v>72</v>
      </c>
      <c r="BX1" s="20" t="s">
        <v>73</v>
      </c>
      <c r="BY1" s="16" t="s">
        <v>74</v>
      </c>
      <c r="BZ1" s="21" t="s">
        <v>75</v>
      </c>
      <c r="CA1" s="22" t="s">
        <v>76</v>
      </c>
      <c r="CB1" s="23" t="s">
        <v>77</v>
      </c>
      <c r="CC1" s="24" t="s">
        <v>711</v>
      </c>
      <c r="CD1" s="25" t="s">
        <v>710</v>
      </c>
      <c r="CE1" s="26" t="s">
        <v>78</v>
      </c>
      <c r="CF1" s="26" t="s">
        <v>79</v>
      </c>
      <c r="CG1" s="26" t="s">
        <v>80</v>
      </c>
      <c r="CH1" s="27" t="s">
        <v>81</v>
      </c>
      <c r="CI1" s="26" t="s">
        <v>82</v>
      </c>
      <c r="CJ1" s="28" t="s">
        <v>83</v>
      </c>
      <c r="CK1" s="26" t="s">
        <v>84</v>
      </c>
      <c r="CL1" s="28" t="s">
        <v>85</v>
      </c>
      <c r="CM1" s="28" t="s">
        <v>86</v>
      </c>
      <c r="CN1" s="29" t="s">
        <v>87</v>
      </c>
      <c r="CO1" s="30" t="s">
        <v>88</v>
      </c>
      <c r="CP1" s="30" t="s">
        <v>89</v>
      </c>
      <c r="CQ1" s="26" t="s">
        <v>90</v>
      </c>
      <c r="CR1" s="29" t="s">
        <v>91</v>
      </c>
      <c r="CS1" s="31" t="s">
        <v>92</v>
      </c>
      <c r="CT1" s="26" t="s">
        <v>93</v>
      </c>
      <c r="CU1" s="32" t="s">
        <v>94</v>
      </c>
      <c r="CV1" s="33" t="s">
        <v>95</v>
      </c>
      <c r="CW1" s="30" t="s">
        <v>96</v>
      </c>
      <c r="CX1" s="30" t="s">
        <v>97</v>
      </c>
      <c r="CY1" s="26" t="s">
        <v>98</v>
      </c>
      <c r="CZ1" s="29" t="s">
        <v>99</v>
      </c>
      <c r="DA1" s="26" t="s">
        <v>100</v>
      </c>
      <c r="DB1" s="26" t="s">
        <v>101</v>
      </c>
      <c r="DC1" s="32" t="s">
        <v>102</v>
      </c>
      <c r="DD1" s="33" t="s">
        <v>103</v>
      </c>
      <c r="DE1" s="30" t="s">
        <v>104</v>
      </c>
      <c r="DF1" s="30" t="s">
        <v>105</v>
      </c>
      <c r="DG1" s="26" t="s">
        <v>106</v>
      </c>
      <c r="DH1" s="29" t="s">
        <v>107</v>
      </c>
      <c r="DI1" s="26" t="s">
        <v>108</v>
      </c>
      <c r="DJ1" s="29" t="s">
        <v>109</v>
      </c>
      <c r="DK1" s="27" t="s">
        <v>110</v>
      </c>
      <c r="DL1" s="33" t="s">
        <v>111</v>
      </c>
      <c r="DM1" s="30" t="s">
        <v>112</v>
      </c>
      <c r="DN1" s="30" t="s">
        <v>113</v>
      </c>
      <c r="DO1" s="26" t="s">
        <v>114</v>
      </c>
      <c r="DP1" s="29" t="s">
        <v>115</v>
      </c>
      <c r="DQ1" s="26" t="s">
        <v>116</v>
      </c>
      <c r="DR1" s="26" t="s">
        <v>117</v>
      </c>
      <c r="DS1" s="30" t="s">
        <v>118</v>
      </c>
      <c r="DT1" s="34" t="s">
        <v>119</v>
      </c>
      <c r="DU1" s="26" t="s">
        <v>120</v>
      </c>
      <c r="DV1" s="26" t="s">
        <v>121</v>
      </c>
      <c r="DW1" s="26" t="s">
        <v>122</v>
      </c>
      <c r="DX1" s="26" t="s">
        <v>123</v>
      </c>
      <c r="DY1" s="33" t="s">
        <v>124</v>
      </c>
      <c r="DZ1" s="26" t="s">
        <v>125</v>
      </c>
      <c r="EA1" s="26" t="s">
        <v>126</v>
      </c>
      <c r="EB1" s="27" t="s">
        <v>127</v>
      </c>
      <c r="EC1" s="26" t="s">
        <v>128</v>
      </c>
      <c r="ED1" s="30" t="s">
        <v>129</v>
      </c>
      <c r="EE1" s="26" t="s">
        <v>129</v>
      </c>
      <c r="EF1" s="26" t="s">
        <v>130</v>
      </c>
      <c r="EG1" s="26" t="s">
        <v>131</v>
      </c>
      <c r="EH1" s="26" t="s">
        <v>132</v>
      </c>
      <c r="EI1" s="33" t="s">
        <v>133</v>
      </c>
      <c r="EJ1" s="30" t="s">
        <v>134</v>
      </c>
      <c r="EK1" s="26" t="s">
        <v>135</v>
      </c>
      <c r="EL1" s="26" t="s">
        <v>712</v>
      </c>
      <c r="EM1" s="26" t="s">
        <v>136</v>
      </c>
      <c r="EN1" s="29" t="s">
        <v>137</v>
      </c>
      <c r="EO1" s="29" t="s">
        <v>138</v>
      </c>
      <c r="EP1" s="124" t="s">
        <v>139</v>
      </c>
      <c r="EQ1" s="128" t="s">
        <v>839</v>
      </c>
      <c r="ER1" s="131" t="s">
        <v>141</v>
      </c>
      <c r="ES1" s="16" t="s">
        <v>142</v>
      </c>
      <c r="ET1" s="16" t="s">
        <v>143</v>
      </c>
      <c r="EU1" s="20" t="s">
        <v>144</v>
      </c>
      <c r="EV1" s="139" t="s">
        <v>140</v>
      </c>
      <c r="EW1" s="16" t="s">
        <v>841</v>
      </c>
      <c r="EX1" s="16" t="s">
        <v>840</v>
      </c>
      <c r="EY1" s="36" t="s">
        <v>818</v>
      </c>
      <c r="EZ1" s="48" t="s">
        <v>831</v>
      </c>
      <c r="FA1" s="47" t="s">
        <v>817</v>
      </c>
      <c r="FB1" s="37" t="s">
        <v>739</v>
      </c>
      <c r="FC1" s="36" t="s">
        <v>727</v>
      </c>
      <c r="FD1" s="36" t="s">
        <v>728</v>
      </c>
      <c r="FE1" s="36" t="s">
        <v>729</v>
      </c>
      <c r="FF1" s="36" t="s">
        <v>730</v>
      </c>
      <c r="FG1" s="36" t="s">
        <v>731</v>
      </c>
      <c r="FH1" s="36" t="s">
        <v>732</v>
      </c>
      <c r="FI1" s="36" t="s">
        <v>733</v>
      </c>
      <c r="FJ1" s="36" t="s">
        <v>734</v>
      </c>
      <c r="FK1" s="36" t="s">
        <v>735</v>
      </c>
      <c r="FL1" s="36" t="s">
        <v>736</v>
      </c>
      <c r="FM1" s="36" t="s">
        <v>737</v>
      </c>
      <c r="FN1" s="37" t="s">
        <v>738</v>
      </c>
      <c r="FO1" s="37" t="s">
        <v>740</v>
      </c>
      <c r="FP1" s="49" t="s">
        <v>743</v>
      </c>
      <c r="FQ1" s="40" t="s">
        <v>744</v>
      </c>
      <c r="FR1" s="40" t="s">
        <v>830</v>
      </c>
      <c r="FS1" s="44" t="s">
        <v>741</v>
      </c>
      <c r="FT1" s="38" t="s">
        <v>819</v>
      </c>
      <c r="FU1" s="39" t="s">
        <v>820</v>
      </c>
      <c r="FV1" s="39" t="s">
        <v>742</v>
      </c>
      <c r="FW1" s="46" t="s">
        <v>746</v>
      </c>
      <c r="FX1" s="40" t="s">
        <v>747</v>
      </c>
      <c r="FY1" s="43" t="s">
        <v>748</v>
      </c>
      <c r="FZ1" s="43" t="s">
        <v>745</v>
      </c>
      <c r="GA1" s="44" t="s">
        <v>750</v>
      </c>
      <c r="GB1" s="39" t="s">
        <v>749</v>
      </c>
      <c r="GC1" s="44" t="s">
        <v>751</v>
      </c>
      <c r="GD1" s="39" t="s">
        <v>752</v>
      </c>
      <c r="GE1" s="44" t="s">
        <v>753</v>
      </c>
      <c r="GF1" s="39" t="s">
        <v>754</v>
      </c>
      <c r="GG1" s="44" t="s">
        <v>755</v>
      </c>
      <c r="GH1" s="39" t="s">
        <v>756</v>
      </c>
      <c r="GI1" s="38" t="s">
        <v>757</v>
      </c>
      <c r="GJ1" s="39" t="s">
        <v>758</v>
      </c>
      <c r="GK1" s="39" t="s">
        <v>759</v>
      </c>
      <c r="GL1" s="38" t="s">
        <v>760</v>
      </c>
      <c r="GM1" s="39" t="s">
        <v>761</v>
      </c>
      <c r="GN1" s="39" t="s">
        <v>762</v>
      </c>
      <c r="GO1" s="35" t="s">
        <v>763</v>
      </c>
      <c r="GP1" s="39" t="s">
        <v>764</v>
      </c>
      <c r="GQ1" s="39" t="s">
        <v>765</v>
      </c>
      <c r="GR1" s="44">
        <v>12</v>
      </c>
      <c r="GS1" s="39" t="s">
        <v>766</v>
      </c>
      <c r="GT1" s="35" t="s">
        <v>767</v>
      </c>
      <c r="GU1" s="35" t="s">
        <v>768</v>
      </c>
      <c r="GV1" s="35" t="s">
        <v>769</v>
      </c>
      <c r="GW1" s="35" t="s">
        <v>829</v>
      </c>
      <c r="GX1" s="40" t="s">
        <v>828</v>
      </c>
      <c r="GY1" s="35" t="s">
        <v>770</v>
      </c>
      <c r="GZ1" s="39" t="s">
        <v>771</v>
      </c>
      <c r="HA1" s="39" t="s">
        <v>772</v>
      </c>
      <c r="HB1" s="44">
        <v>14</v>
      </c>
      <c r="HC1" s="39" t="s">
        <v>773</v>
      </c>
      <c r="HD1" s="44">
        <v>15</v>
      </c>
      <c r="HE1" s="39" t="s">
        <v>774</v>
      </c>
      <c r="HF1" s="41" t="s">
        <v>775</v>
      </c>
      <c r="HG1" s="40" t="s">
        <v>776</v>
      </c>
      <c r="HH1" s="43" t="s">
        <v>777</v>
      </c>
      <c r="HI1" s="43" t="s">
        <v>778</v>
      </c>
      <c r="HJ1" s="38" t="s">
        <v>827</v>
      </c>
      <c r="HK1" s="40" t="s">
        <v>779</v>
      </c>
      <c r="HL1" s="40" t="s">
        <v>780</v>
      </c>
      <c r="HM1" s="39" t="s">
        <v>781</v>
      </c>
      <c r="HN1" s="39" t="s">
        <v>782</v>
      </c>
      <c r="HO1" s="44">
        <v>17</v>
      </c>
      <c r="HP1" s="39" t="s">
        <v>783</v>
      </c>
      <c r="HQ1" s="44">
        <v>18</v>
      </c>
      <c r="HR1" s="39" t="s">
        <v>784</v>
      </c>
      <c r="HS1" s="45">
        <v>19</v>
      </c>
      <c r="HT1" s="39" t="s">
        <v>821</v>
      </c>
      <c r="HU1" s="35" t="s">
        <v>786</v>
      </c>
      <c r="HV1" s="35" t="s">
        <v>822</v>
      </c>
      <c r="HW1" s="41" t="s">
        <v>787</v>
      </c>
      <c r="HX1" s="35" t="s">
        <v>788</v>
      </c>
      <c r="HY1" s="39" t="s">
        <v>789</v>
      </c>
      <c r="HZ1" s="39" t="s">
        <v>785</v>
      </c>
      <c r="IA1" s="44">
        <v>21</v>
      </c>
      <c r="IB1" s="39" t="s">
        <v>790</v>
      </c>
      <c r="IC1" s="44">
        <v>22</v>
      </c>
      <c r="ID1" s="39" t="s">
        <v>791</v>
      </c>
      <c r="IE1" s="46" t="s">
        <v>792</v>
      </c>
      <c r="IF1" s="40" t="s">
        <v>793</v>
      </c>
      <c r="IG1" s="40" t="s">
        <v>823</v>
      </c>
      <c r="IH1" s="43" t="s">
        <v>794</v>
      </c>
      <c r="II1" s="43" t="s">
        <v>795</v>
      </c>
      <c r="IJ1" s="35" t="s">
        <v>797</v>
      </c>
      <c r="IK1" s="35" t="s">
        <v>798</v>
      </c>
      <c r="IL1" s="35" t="s">
        <v>824</v>
      </c>
      <c r="IM1" s="41" t="s">
        <v>799</v>
      </c>
      <c r="IN1" s="35" t="s">
        <v>800</v>
      </c>
      <c r="IO1" s="41" t="s">
        <v>801</v>
      </c>
      <c r="IP1" s="41" t="s">
        <v>802</v>
      </c>
      <c r="IQ1" s="43" t="s">
        <v>803</v>
      </c>
      <c r="IR1" s="37" t="s">
        <v>796</v>
      </c>
      <c r="IS1" s="36" t="s">
        <v>807</v>
      </c>
      <c r="IT1" s="35" t="s">
        <v>808</v>
      </c>
      <c r="IU1" s="35" t="s">
        <v>809</v>
      </c>
      <c r="IV1" s="39" t="s">
        <v>806</v>
      </c>
      <c r="IW1" s="35" t="s">
        <v>810</v>
      </c>
      <c r="IX1" s="41" t="s">
        <v>811</v>
      </c>
      <c r="IY1" s="39" t="s">
        <v>805</v>
      </c>
      <c r="IZ1" s="35" t="s">
        <v>812</v>
      </c>
      <c r="JA1" s="43" t="s">
        <v>813</v>
      </c>
      <c r="JB1" s="39" t="s">
        <v>804</v>
      </c>
      <c r="JC1" s="38" t="s">
        <v>815</v>
      </c>
      <c r="JD1" s="43" t="s">
        <v>816</v>
      </c>
      <c r="JE1" s="39" t="s">
        <v>814</v>
      </c>
      <c r="JF1" s="46" t="s">
        <v>825</v>
      </c>
      <c r="JG1" s="46" t="s">
        <v>826</v>
      </c>
      <c r="JH1" s="166" t="s">
        <v>843</v>
      </c>
    </row>
    <row r="2" spans="1:268" s="51" customFormat="1" ht="16" x14ac:dyDescent="0.25">
      <c r="A2" s="50">
        <v>1</v>
      </c>
      <c r="B2" s="51" t="s">
        <v>145</v>
      </c>
      <c r="C2" s="51" t="s">
        <v>146</v>
      </c>
      <c r="D2" s="51" t="s">
        <v>147</v>
      </c>
      <c r="E2" s="52">
        <v>43438</v>
      </c>
      <c r="F2" s="51" t="s">
        <v>148</v>
      </c>
      <c r="G2" s="51" t="s">
        <v>149</v>
      </c>
      <c r="H2" s="51" t="s">
        <v>150</v>
      </c>
      <c r="I2" s="51" t="s">
        <v>151</v>
      </c>
      <c r="J2" s="51" t="s">
        <v>152</v>
      </c>
      <c r="K2" s="54" t="s">
        <v>153</v>
      </c>
      <c r="L2" s="51" t="s">
        <v>154</v>
      </c>
      <c r="M2" s="54" t="s">
        <v>155</v>
      </c>
      <c r="N2" s="51" t="s">
        <v>156</v>
      </c>
      <c r="O2" s="54" t="s">
        <v>157</v>
      </c>
      <c r="P2" s="51" t="s">
        <v>158</v>
      </c>
      <c r="Q2" s="51" t="s">
        <v>159</v>
      </c>
      <c r="R2" s="55"/>
      <c r="T2" s="55" t="s">
        <v>149</v>
      </c>
      <c r="U2" s="51" t="s">
        <v>150</v>
      </c>
      <c r="V2" s="51" t="s">
        <v>150</v>
      </c>
      <c r="W2" s="51" t="s">
        <v>150</v>
      </c>
      <c r="X2" s="51" t="s">
        <v>150</v>
      </c>
      <c r="Y2" s="51" t="s">
        <v>150</v>
      </c>
      <c r="Z2" s="51" t="s">
        <v>150</v>
      </c>
      <c r="AA2" s="56"/>
      <c r="AB2" s="51" t="s">
        <v>149</v>
      </c>
      <c r="AC2" s="51" t="s">
        <v>150</v>
      </c>
      <c r="AD2" s="51" t="s">
        <v>150</v>
      </c>
      <c r="AE2" s="51" t="s">
        <v>150</v>
      </c>
      <c r="AF2" s="56"/>
      <c r="AH2" s="57" t="s">
        <v>160</v>
      </c>
      <c r="AI2" s="146" t="s">
        <v>149</v>
      </c>
      <c r="AJ2" s="147" t="s">
        <v>149</v>
      </c>
      <c r="AK2" s="148" t="s">
        <v>161</v>
      </c>
      <c r="AL2" s="149">
        <v>43299</v>
      </c>
      <c r="AM2" s="51" t="s">
        <v>149</v>
      </c>
      <c r="AN2" s="52">
        <v>43116</v>
      </c>
      <c r="AO2" s="51" t="s">
        <v>149</v>
      </c>
      <c r="AP2" s="51" t="s">
        <v>162</v>
      </c>
      <c r="AQ2" s="54"/>
      <c r="AR2" s="58"/>
      <c r="AS2" s="51" t="s">
        <v>149</v>
      </c>
      <c r="AT2" s="51" t="s">
        <v>149</v>
      </c>
      <c r="AU2" s="51" t="s">
        <v>149</v>
      </c>
      <c r="AV2" s="51" t="s">
        <v>149</v>
      </c>
      <c r="AW2" s="51" t="s">
        <v>150</v>
      </c>
      <c r="AX2" s="51" t="s">
        <v>149</v>
      </c>
      <c r="AY2" s="59" t="s">
        <v>149</v>
      </c>
      <c r="AZ2" s="51" t="s">
        <v>149</v>
      </c>
      <c r="BA2" s="51" t="s">
        <v>149</v>
      </c>
      <c r="BB2" s="51" t="s">
        <v>149</v>
      </c>
      <c r="BC2" s="51" t="s">
        <v>150</v>
      </c>
      <c r="BD2" s="51" t="s">
        <v>150</v>
      </c>
      <c r="BE2" s="51" t="s">
        <v>150</v>
      </c>
      <c r="BF2" s="51" t="s">
        <v>149</v>
      </c>
      <c r="BG2" s="53" t="s">
        <v>149</v>
      </c>
      <c r="BH2" s="51" t="s">
        <v>149</v>
      </c>
      <c r="BI2" s="51" t="s">
        <v>149</v>
      </c>
      <c r="BJ2" s="54" t="s">
        <v>149</v>
      </c>
      <c r="BK2" s="51" t="s">
        <v>150</v>
      </c>
      <c r="BL2" s="51" t="s">
        <v>150</v>
      </c>
      <c r="BM2" s="53" t="s">
        <v>149</v>
      </c>
      <c r="BN2" s="51" t="s">
        <v>149</v>
      </c>
      <c r="BO2" s="51" t="s">
        <v>149</v>
      </c>
      <c r="BP2" s="51" t="s">
        <v>149</v>
      </c>
      <c r="BR2" s="51" t="s">
        <v>150</v>
      </c>
      <c r="BS2" s="51" t="s">
        <v>722</v>
      </c>
      <c r="BT2" s="53" t="s">
        <v>163</v>
      </c>
      <c r="BU2" s="51" t="s">
        <v>164</v>
      </c>
      <c r="BW2" s="59"/>
      <c r="BX2" s="54" t="s">
        <v>165</v>
      </c>
      <c r="BY2" s="51" t="s">
        <v>149</v>
      </c>
      <c r="BZ2" s="60"/>
      <c r="CA2" s="61">
        <v>631</v>
      </c>
      <c r="CB2" s="59">
        <v>23</v>
      </c>
      <c r="CC2" s="51">
        <v>4</v>
      </c>
      <c r="CD2" s="62">
        <v>19</v>
      </c>
      <c r="CE2" s="52">
        <v>43215</v>
      </c>
      <c r="CF2" s="51" t="s">
        <v>150</v>
      </c>
      <c r="CH2" s="54"/>
      <c r="CI2" s="51" t="s">
        <v>150</v>
      </c>
      <c r="CJ2" s="59"/>
      <c r="CK2" s="51" t="s">
        <v>149</v>
      </c>
      <c r="CL2" s="59" t="s">
        <v>167</v>
      </c>
      <c r="CM2" s="59" t="s">
        <v>150</v>
      </c>
      <c r="CN2" s="63" t="s">
        <v>150</v>
      </c>
      <c r="CU2" s="64" t="s">
        <v>168</v>
      </c>
      <c r="CV2" s="53" t="s">
        <v>150</v>
      </c>
      <c r="CW2" s="64" t="s">
        <v>150</v>
      </c>
      <c r="CX2" s="64"/>
      <c r="DC2" s="64"/>
      <c r="DD2" s="53" t="s">
        <v>150</v>
      </c>
      <c r="DE2" s="64" t="s">
        <v>150</v>
      </c>
      <c r="DF2" s="64"/>
      <c r="DJ2" s="63"/>
      <c r="DK2" s="54"/>
      <c r="DL2" s="51" t="s">
        <v>150</v>
      </c>
      <c r="DM2" s="64" t="s">
        <v>150</v>
      </c>
      <c r="DN2" s="64"/>
      <c r="DS2" s="64"/>
      <c r="DT2" s="57" t="s">
        <v>150</v>
      </c>
      <c r="DU2" s="51" t="s">
        <v>149</v>
      </c>
      <c r="DV2" s="51" t="s">
        <v>167</v>
      </c>
      <c r="DX2" s="51" t="s">
        <v>169</v>
      </c>
      <c r="DY2" s="53" t="s">
        <v>150</v>
      </c>
      <c r="DZ2" s="51" t="s">
        <v>150</v>
      </c>
      <c r="EB2" s="54"/>
      <c r="EC2" s="53" t="s">
        <v>149</v>
      </c>
      <c r="ED2" s="64" t="s">
        <v>149</v>
      </c>
      <c r="EE2" s="51" t="s">
        <v>170</v>
      </c>
      <c r="EF2" s="51" t="s">
        <v>150</v>
      </c>
      <c r="EG2" s="51" t="s">
        <v>150</v>
      </c>
      <c r="EI2" s="63" t="s">
        <v>150</v>
      </c>
      <c r="EJ2" s="64"/>
      <c r="EN2" s="63"/>
      <c r="EO2" s="63"/>
      <c r="EP2" s="62"/>
      <c r="EQ2" s="129" t="s">
        <v>149</v>
      </c>
      <c r="ER2" s="132" t="s">
        <v>166</v>
      </c>
      <c r="ES2" s="51" t="s">
        <v>166</v>
      </c>
      <c r="ET2" s="51" t="s">
        <v>166</v>
      </c>
      <c r="EU2" s="54" t="s">
        <v>171</v>
      </c>
      <c r="EV2" s="142" t="s">
        <v>166</v>
      </c>
      <c r="EW2" s="42" t="str">
        <f t="shared" ref="EW2:EW46" si="0">IF(COUNTIF(ER2:EU2,"High")&gt;0,"High",IF(COUNTIF(ER2:EU2,"Unclear")&gt;0,"Unclear","Low"))</f>
        <v>High</v>
      </c>
      <c r="EX2" s="141"/>
      <c r="EY2" s="51" t="s">
        <v>149</v>
      </c>
      <c r="EZ2" s="51" t="s">
        <v>150</v>
      </c>
      <c r="FA2" s="51" t="s">
        <v>150</v>
      </c>
      <c r="FB2" s="54" t="str">
        <f t="shared" ref="FB2:FB46" si="1">IF(COUNTIF(EY2:FA2,"Yes")=COLUMNS(EY2:FA2),"Yes",IF(COUNTIF(EY2:FA2,"Yes")=0,"No","Partial yes"))</f>
        <v>Partial yes</v>
      </c>
      <c r="FC2" s="51" t="s">
        <v>149</v>
      </c>
      <c r="FD2" s="51" t="s">
        <v>149</v>
      </c>
      <c r="FE2" s="51" t="s">
        <v>149</v>
      </c>
      <c r="FF2" s="51" t="s">
        <v>149</v>
      </c>
      <c r="FG2" s="66" t="s">
        <v>150</v>
      </c>
      <c r="FH2" s="51" t="s">
        <v>149</v>
      </c>
      <c r="FI2" s="51" t="s">
        <v>150</v>
      </c>
      <c r="FJ2" s="51" t="s">
        <v>149</v>
      </c>
      <c r="FK2" s="51" t="s">
        <v>149</v>
      </c>
      <c r="FL2" s="51" t="s">
        <v>149</v>
      </c>
      <c r="FM2" s="51" t="s">
        <v>150</v>
      </c>
      <c r="FN2" s="51" t="s">
        <v>149</v>
      </c>
      <c r="FO2" s="51" t="str">
        <f t="shared" ref="FO2:FO46" si="2">IF(COUNTIF(FC2:FN2,"Yes")=COLUMNS(FC2:FN2),"Yes",IF(COUNTIF(FC2:FN2,"Yes")=0,"No","Partial yes"))</f>
        <v>Partial yes</v>
      </c>
      <c r="FP2" s="51" t="s">
        <v>149</v>
      </c>
      <c r="FQ2" s="51" t="s">
        <v>149</v>
      </c>
      <c r="FR2" s="51" t="s">
        <v>832</v>
      </c>
      <c r="FS2" s="51" t="str">
        <f t="shared" ref="FS2:FS28" si="3">IF(COUNTIF(FP2:FQ2,"Yes")=COLUMNS(FP2:FQ2),"Yes",IF(COUNTIF(FP2:FQ2,"Yes")=0,"No","Partial yes"))</f>
        <v>Yes</v>
      </c>
      <c r="FT2" s="51" t="s">
        <v>149</v>
      </c>
      <c r="FU2" s="51" t="s">
        <v>832</v>
      </c>
      <c r="FV2" s="51" t="str">
        <f t="shared" ref="FV2:FV28" si="4">FT2</f>
        <v>Yes</v>
      </c>
      <c r="FW2" s="51" t="str">
        <f t="shared" ref="FW2:FW48" si="5">CK2</f>
        <v>Yes</v>
      </c>
      <c r="FX2" s="51" t="s">
        <v>150</v>
      </c>
      <c r="FY2" s="51" t="str">
        <f t="shared" ref="FY2:FY13" si="6">EI2</f>
        <v>No</v>
      </c>
      <c r="FZ2" s="51" t="str">
        <f t="shared" ref="FZ2:FZ46" si="7">IF(COUNTIF(FW2:FY2,"Yes")=COLUMNS(FW2:FY2),"Yes",IF(COUNTIF(FW2:FY2,"Yes")=0,"No","Partial yes"))</f>
        <v>Partial yes</v>
      </c>
      <c r="GA2" s="51" t="s">
        <v>149</v>
      </c>
      <c r="GB2" s="51" t="str">
        <f>GA2</f>
        <v>Yes</v>
      </c>
      <c r="GC2" s="51" t="s">
        <v>149</v>
      </c>
      <c r="GD2" s="51" t="str">
        <f>GC2</f>
        <v>Yes</v>
      </c>
      <c r="GE2" s="51" t="s">
        <v>149</v>
      </c>
      <c r="GF2" s="51" t="str">
        <f t="shared" ref="GF2:GF7" si="8">GE2</f>
        <v>Yes</v>
      </c>
      <c r="GG2" s="51" t="s">
        <v>149</v>
      </c>
      <c r="GH2" s="51" t="str">
        <f t="shared" ref="GH2:GH15" si="9">GG2</f>
        <v>Yes</v>
      </c>
      <c r="GI2" s="51" t="s">
        <v>149</v>
      </c>
      <c r="GJ2" s="51" t="s">
        <v>832</v>
      </c>
      <c r="GK2" s="51" t="str">
        <f t="shared" ref="GK2:GK46" si="10">GI2</f>
        <v>Yes</v>
      </c>
      <c r="GL2" s="51" t="s">
        <v>149</v>
      </c>
      <c r="GM2" s="51" t="s">
        <v>150</v>
      </c>
      <c r="GN2" s="51" t="str">
        <f t="shared" ref="GN2:GN13" si="11">IF(COUNTIF(GL2:GM2,"Yes")=COLUMNS(GL2:GM2),"Yes",IF(COUNTIF(GL2:GM2,"Yes")=0,"No","Partial yes"))</f>
        <v>Partial yes</v>
      </c>
      <c r="GO2" s="51" t="s">
        <v>149</v>
      </c>
      <c r="GP2" s="51" t="s">
        <v>832</v>
      </c>
      <c r="GQ2" s="51" t="str">
        <f t="shared" ref="GQ2:GQ26" si="12">GO2</f>
        <v>Yes</v>
      </c>
      <c r="GR2" s="51" t="s">
        <v>149</v>
      </c>
      <c r="GS2" s="51" t="str">
        <f t="shared" ref="GS2:GS17" si="13">GR2</f>
        <v>Yes</v>
      </c>
      <c r="GT2" s="51" t="s">
        <v>149</v>
      </c>
      <c r="GU2" s="51" t="s">
        <v>149</v>
      </c>
      <c r="GV2" s="51" t="s">
        <v>149</v>
      </c>
      <c r="GW2" s="51" t="s">
        <v>149</v>
      </c>
      <c r="GX2" s="51" t="s">
        <v>150</v>
      </c>
      <c r="GY2" s="51" t="s">
        <v>150</v>
      </c>
      <c r="GZ2" s="51" t="s">
        <v>150</v>
      </c>
      <c r="HA2" s="51" t="str">
        <f t="shared" ref="HA2:HA46" si="14">IF(COUNTIF(GT2:GZ2,"Yes")=COLUMNS(GT2:GZ2),"Yes",IF(COUNTIF(GT2:GZ2,"Yes")=0,"No","Partial yes"))</f>
        <v>Partial yes</v>
      </c>
      <c r="HB2" s="51" t="s">
        <v>150</v>
      </c>
      <c r="HC2" s="51" t="str">
        <f t="shared" ref="HC2:HC15" si="15">HB2</f>
        <v>No</v>
      </c>
      <c r="HD2" s="51" t="s">
        <v>149</v>
      </c>
      <c r="HE2" s="51" t="str">
        <f>HD2</f>
        <v>Yes</v>
      </c>
      <c r="HF2" s="51" t="s">
        <v>832</v>
      </c>
      <c r="HG2" s="51" t="s">
        <v>832</v>
      </c>
      <c r="HH2" s="51" t="s">
        <v>832</v>
      </c>
      <c r="HI2" s="51" t="s">
        <v>832</v>
      </c>
      <c r="HJ2" s="51" t="s">
        <v>149</v>
      </c>
      <c r="HK2" s="51" t="s">
        <v>832</v>
      </c>
      <c r="HL2" s="51" t="s">
        <v>832</v>
      </c>
      <c r="HM2" s="51" t="s">
        <v>149</v>
      </c>
      <c r="HN2" s="51" t="str">
        <f t="shared" ref="HN2:HN26" si="16">IF(AND(HJ2="Yes",HM2="Yes"),"Yes",IF(OR(HJ2="Yes",HM2="Yes"),"Partial yes","No"))</f>
        <v>Yes</v>
      </c>
      <c r="HO2" s="51" t="s">
        <v>149</v>
      </c>
      <c r="HP2" s="51" t="str">
        <f t="shared" ref="HP2:HP17" si="17">HO2</f>
        <v>Yes</v>
      </c>
      <c r="HQ2" s="51" t="s">
        <v>149</v>
      </c>
      <c r="HR2" s="51" t="str">
        <f t="shared" ref="HR2:HR27" si="18">HQ2</f>
        <v>Yes</v>
      </c>
      <c r="HS2" s="51" t="s">
        <v>149</v>
      </c>
      <c r="HT2" s="51" t="str">
        <f t="shared" ref="HT2:HT24" si="19">HS2</f>
        <v>Yes</v>
      </c>
      <c r="HU2" s="51" t="s">
        <v>149</v>
      </c>
      <c r="HV2" s="51" t="s">
        <v>149</v>
      </c>
      <c r="HW2" s="65" t="s">
        <v>832</v>
      </c>
      <c r="HX2" s="51" t="s">
        <v>149</v>
      </c>
      <c r="HY2" s="51" t="s">
        <v>149</v>
      </c>
      <c r="HZ2" s="51" t="str">
        <f t="shared" ref="HZ2:HZ46" si="20">IF(COUNTIF(HU2:HY2,"Yes")=COLUMNS(HU2:HY2),"Yes",IF(COUNTIF(HU2:HY2,"Yes")=0,"No","Partial yes"))</f>
        <v>Partial yes</v>
      </c>
      <c r="IA2" s="51" t="s">
        <v>150</v>
      </c>
      <c r="IB2" s="51" t="str">
        <f t="shared" ref="IB2:IB17" si="21">IA2</f>
        <v>No</v>
      </c>
      <c r="IC2" s="51" t="s">
        <v>149</v>
      </c>
      <c r="ID2" s="51" t="str">
        <f t="shared" ref="ID2:ID13" si="22">IC2</f>
        <v>Yes</v>
      </c>
      <c r="IE2" s="51" t="s">
        <v>832</v>
      </c>
      <c r="IF2" s="51" t="s">
        <v>832</v>
      </c>
      <c r="IG2" s="51" t="s">
        <v>832</v>
      </c>
      <c r="IH2" s="51" t="s">
        <v>832</v>
      </c>
      <c r="II2" s="51" t="s">
        <v>832</v>
      </c>
      <c r="IJ2" s="51" t="s">
        <v>149</v>
      </c>
      <c r="IK2" s="51" t="s">
        <v>149</v>
      </c>
      <c r="IL2" s="51" t="s">
        <v>149</v>
      </c>
      <c r="IM2" s="51" t="s">
        <v>150</v>
      </c>
      <c r="IN2" s="51" t="s">
        <v>149</v>
      </c>
      <c r="IP2" s="51" t="s">
        <v>150</v>
      </c>
      <c r="IR2" s="51" t="str">
        <f t="shared" ref="IR2:IR25" si="23">IF(AND(COUNTIF(IJ2:IN2,"Yes")=COLUMNS(IJ2:IN2),IP2="Yes"),"Yes",
   IF(OR(COUNTIF(IJ2:IN2,"Yes")&gt;0,IP2="Yes"),"Partial yes",
      "No"))</f>
        <v>Partial yes</v>
      </c>
      <c r="IS2" s="51" t="s">
        <v>149</v>
      </c>
      <c r="IT2" s="51" t="s">
        <v>149</v>
      </c>
      <c r="IU2" s="51" t="s">
        <v>150</v>
      </c>
      <c r="IV2" s="51" t="str">
        <f t="shared" ref="IV2:IV46" si="24">IF(COUNTIF(IS2:IU2,"Yes")=COLUMNS(IS2:IU2),"Yes",IF(COUNTIF(IS2:IU2,"Yes")=0,"No","Partial yes"))</f>
        <v>Partial yes</v>
      </c>
      <c r="IW2" s="51" t="s">
        <v>149</v>
      </c>
      <c r="IX2" s="65" t="s">
        <v>149</v>
      </c>
      <c r="IY2" s="51" t="str">
        <f t="shared" ref="IY2:IY46" si="25">IF(COUNTIF(IW2:IX2,"Yes")=COLUMNS(IW2:IX2),"Yes",IF(COUNTIF(IW2:IX2,"Yes")=0,"No","Partial yes"))</f>
        <v>Yes</v>
      </c>
      <c r="IZ2" s="51" t="s">
        <v>149</v>
      </c>
      <c r="JA2" s="65" t="s">
        <v>149</v>
      </c>
      <c r="JB2" s="51" t="str">
        <f t="shared" ref="JB2:JB45" si="26">IF(COUNTIF(IZ2:JA2,"Yes")=COLUMNS(IZ2:JA2),"Yes",IF(COUNTIF(IZ2:JA2,"Yes")=0,"No","Partial yes"))</f>
        <v>Yes</v>
      </c>
      <c r="JC2" s="51" t="s">
        <v>150</v>
      </c>
      <c r="JD2" s="51" t="s">
        <v>832</v>
      </c>
      <c r="JE2" s="51" t="str">
        <f t="shared" ref="JE2:JE46" si="27">JC2</f>
        <v>No</v>
      </c>
      <c r="JF2" s="65" t="s">
        <v>149</v>
      </c>
      <c r="JG2" s="51" t="str">
        <f t="shared" ref="JG2:JG9" si="28">JF2</f>
        <v>Yes</v>
      </c>
      <c r="JH2" s="51" t="s">
        <v>150</v>
      </c>
    </row>
    <row r="3" spans="1:268" s="51" customFormat="1" ht="16" x14ac:dyDescent="0.25">
      <c r="A3" s="50">
        <v>2</v>
      </c>
      <c r="B3" s="51" t="s">
        <v>176</v>
      </c>
      <c r="C3" s="51" t="s">
        <v>177</v>
      </c>
      <c r="D3" s="51" t="s">
        <v>178</v>
      </c>
      <c r="E3" s="52">
        <v>43888</v>
      </c>
      <c r="F3" s="51" t="s">
        <v>179</v>
      </c>
      <c r="G3" s="51" t="s">
        <v>150</v>
      </c>
      <c r="H3" s="51" t="s">
        <v>149</v>
      </c>
      <c r="I3" s="51" t="s">
        <v>180</v>
      </c>
      <c r="J3" s="51" t="s">
        <v>181</v>
      </c>
      <c r="K3" s="54" t="s">
        <v>182</v>
      </c>
      <c r="L3" s="51" t="s">
        <v>154</v>
      </c>
      <c r="M3" s="54" t="s">
        <v>183</v>
      </c>
      <c r="N3" s="51" t="s">
        <v>156</v>
      </c>
      <c r="O3" s="54" t="s">
        <v>184</v>
      </c>
      <c r="P3" s="51" t="s">
        <v>185</v>
      </c>
      <c r="Q3" s="51" t="s">
        <v>186</v>
      </c>
      <c r="R3" s="55">
        <v>3</v>
      </c>
      <c r="S3" s="51" t="s">
        <v>187</v>
      </c>
      <c r="T3" s="55" t="s">
        <v>149</v>
      </c>
      <c r="U3" s="51" t="s">
        <v>150</v>
      </c>
      <c r="V3" s="51" t="s">
        <v>150</v>
      </c>
      <c r="W3" s="51" t="s">
        <v>149</v>
      </c>
      <c r="X3" s="51" t="s">
        <v>150</v>
      </c>
      <c r="Y3" s="51" t="s">
        <v>150</v>
      </c>
      <c r="Z3" s="51" t="s">
        <v>150</v>
      </c>
      <c r="AA3" s="56"/>
      <c r="AB3" s="51" t="s">
        <v>149</v>
      </c>
      <c r="AC3" s="51" t="s">
        <v>149</v>
      </c>
      <c r="AD3" s="51" t="s">
        <v>150</v>
      </c>
      <c r="AE3" s="51" t="s">
        <v>150</v>
      </c>
      <c r="AF3" s="56"/>
      <c r="AH3" s="57" t="s">
        <v>188</v>
      </c>
      <c r="AI3" s="146" t="s">
        <v>149</v>
      </c>
      <c r="AJ3" s="147" t="s">
        <v>149</v>
      </c>
      <c r="AK3" s="148" t="s">
        <v>189</v>
      </c>
      <c r="AL3" s="149">
        <v>43819</v>
      </c>
      <c r="AM3" s="163" t="s">
        <v>150</v>
      </c>
      <c r="AQ3" s="54"/>
      <c r="AR3" s="58" t="s">
        <v>190</v>
      </c>
      <c r="AS3" s="51" t="s">
        <v>149</v>
      </c>
      <c r="AT3" s="51" t="s">
        <v>149</v>
      </c>
      <c r="AU3" s="51" t="s">
        <v>149</v>
      </c>
      <c r="AV3" s="51" t="s">
        <v>150</v>
      </c>
      <c r="AW3" s="51" t="s">
        <v>149</v>
      </c>
      <c r="AX3" s="51" t="s">
        <v>149</v>
      </c>
      <c r="AY3" s="59" t="s">
        <v>149</v>
      </c>
      <c r="AZ3" s="51" t="s">
        <v>149</v>
      </c>
      <c r="BA3" s="51" t="s">
        <v>149</v>
      </c>
      <c r="BB3" s="51" t="s">
        <v>149</v>
      </c>
      <c r="BC3" s="51" t="s">
        <v>149</v>
      </c>
      <c r="BD3" s="51" t="s">
        <v>150</v>
      </c>
      <c r="BE3" s="51" t="s">
        <v>150</v>
      </c>
      <c r="BF3" s="51" t="s">
        <v>150</v>
      </c>
      <c r="BG3" s="53" t="s">
        <v>149</v>
      </c>
      <c r="BH3" s="51" t="s">
        <v>149</v>
      </c>
      <c r="BI3" s="51" t="s">
        <v>150</v>
      </c>
      <c r="BJ3" s="54" t="s">
        <v>149</v>
      </c>
      <c r="BK3" s="51" t="s">
        <v>149</v>
      </c>
      <c r="BL3" s="51" t="s">
        <v>149</v>
      </c>
      <c r="BM3" s="53" t="s">
        <v>149</v>
      </c>
      <c r="BN3" s="51" t="s">
        <v>149</v>
      </c>
      <c r="BO3" s="51" t="s">
        <v>149</v>
      </c>
      <c r="BP3" s="51" t="s">
        <v>149</v>
      </c>
      <c r="BR3" s="51" t="s">
        <v>191</v>
      </c>
      <c r="BT3" s="53" t="s">
        <v>163</v>
      </c>
      <c r="BU3" s="51" t="s">
        <v>164</v>
      </c>
      <c r="BW3" s="59"/>
      <c r="BX3" s="54" t="s">
        <v>165</v>
      </c>
      <c r="BY3" s="51" t="s">
        <v>149</v>
      </c>
      <c r="BZ3" s="60"/>
      <c r="CA3" s="61">
        <f>3341+119</f>
        <v>3460</v>
      </c>
      <c r="CB3" s="59">
        <v>8</v>
      </c>
      <c r="CC3" s="51">
        <v>8</v>
      </c>
      <c r="CD3" s="62">
        <v>0</v>
      </c>
      <c r="CE3" s="52">
        <v>43724</v>
      </c>
      <c r="CF3" s="51" t="s">
        <v>150</v>
      </c>
      <c r="CH3" s="54"/>
      <c r="CI3" s="51" t="s">
        <v>150</v>
      </c>
      <c r="CJ3" s="59"/>
      <c r="CK3" s="51" t="s">
        <v>149</v>
      </c>
      <c r="CL3" s="59" t="s">
        <v>192</v>
      </c>
      <c r="CM3" s="59" t="s">
        <v>149</v>
      </c>
      <c r="CN3" s="63" t="s">
        <v>149</v>
      </c>
      <c r="CO3" s="51" t="s">
        <v>149</v>
      </c>
      <c r="CP3" s="51" t="s">
        <v>150</v>
      </c>
      <c r="CS3" s="51" t="s">
        <v>150</v>
      </c>
      <c r="CU3" s="64"/>
      <c r="CV3" s="53" t="s">
        <v>150</v>
      </c>
      <c r="CW3" s="64" t="s">
        <v>149</v>
      </c>
      <c r="CX3" s="64" t="s">
        <v>149</v>
      </c>
      <c r="CY3" s="51" t="s">
        <v>193</v>
      </c>
      <c r="DA3" s="51" t="s">
        <v>150</v>
      </c>
      <c r="DC3" s="64" t="s">
        <v>194</v>
      </c>
      <c r="DD3" s="53" t="s">
        <v>149</v>
      </c>
      <c r="DE3" s="64" t="s">
        <v>150</v>
      </c>
      <c r="DF3" s="64"/>
      <c r="DJ3" s="63"/>
      <c r="DK3" s="54"/>
      <c r="DL3" s="51" t="s">
        <v>150</v>
      </c>
      <c r="DM3" s="64" t="s">
        <v>150</v>
      </c>
      <c r="DN3" s="64"/>
      <c r="DS3" s="64"/>
      <c r="DT3" s="57" t="s">
        <v>150</v>
      </c>
      <c r="DU3" s="51" t="s">
        <v>150</v>
      </c>
      <c r="DW3" s="51" t="s">
        <v>149</v>
      </c>
      <c r="DX3" s="51" t="s">
        <v>195</v>
      </c>
      <c r="DY3" s="53" t="s">
        <v>150</v>
      </c>
      <c r="DZ3" s="51" t="s">
        <v>150</v>
      </c>
      <c r="EB3" s="54"/>
      <c r="EC3" s="53" t="s">
        <v>149</v>
      </c>
      <c r="ED3" s="64" t="s">
        <v>150</v>
      </c>
      <c r="EF3" s="51" t="s">
        <v>196</v>
      </c>
      <c r="EG3" s="51" t="s">
        <v>150</v>
      </c>
      <c r="EI3" s="63" t="s">
        <v>149</v>
      </c>
      <c r="EJ3" s="64" t="s">
        <v>150</v>
      </c>
      <c r="EK3" s="51" t="s">
        <v>149</v>
      </c>
      <c r="EL3" s="51" t="s">
        <v>149</v>
      </c>
      <c r="EM3" s="51" t="s">
        <v>150</v>
      </c>
      <c r="EN3" s="63"/>
      <c r="EO3" s="63" t="s">
        <v>713</v>
      </c>
      <c r="EP3" s="62"/>
      <c r="EQ3" s="129" t="s">
        <v>149</v>
      </c>
      <c r="ER3" s="132" t="s">
        <v>166</v>
      </c>
      <c r="ES3" s="51" t="s">
        <v>166</v>
      </c>
      <c r="ET3" s="51" t="s">
        <v>166</v>
      </c>
      <c r="EU3" s="54" t="s">
        <v>166</v>
      </c>
      <c r="EV3" s="62" t="s">
        <v>166</v>
      </c>
      <c r="EW3" s="146" t="str">
        <f t="shared" si="0"/>
        <v>Low</v>
      </c>
      <c r="EX3" s="141"/>
      <c r="EY3" s="51" t="s">
        <v>150</v>
      </c>
      <c r="EZ3" s="51" t="s">
        <v>150</v>
      </c>
      <c r="FA3" s="51" t="s">
        <v>150</v>
      </c>
      <c r="FB3" s="54" t="str">
        <f t="shared" si="1"/>
        <v>No</v>
      </c>
      <c r="FC3" s="51" t="s">
        <v>149</v>
      </c>
      <c r="FD3" s="51" t="s">
        <v>149</v>
      </c>
      <c r="FE3" s="51" t="s">
        <v>149</v>
      </c>
      <c r="FF3" s="51" t="s">
        <v>149</v>
      </c>
      <c r="FG3" s="51" t="s">
        <v>149</v>
      </c>
      <c r="FH3" s="51" t="s">
        <v>149</v>
      </c>
      <c r="FI3" s="51" t="s">
        <v>149</v>
      </c>
      <c r="FJ3" s="51" t="s">
        <v>149</v>
      </c>
      <c r="FK3" s="51" t="s">
        <v>149</v>
      </c>
      <c r="FL3" s="51" t="s">
        <v>149</v>
      </c>
      <c r="FM3" s="51" t="s">
        <v>150</v>
      </c>
      <c r="FN3" s="51" t="s">
        <v>150</v>
      </c>
      <c r="FO3" s="51" t="str">
        <f t="shared" si="2"/>
        <v>Partial yes</v>
      </c>
      <c r="FP3" s="51" t="s">
        <v>149</v>
      </c>
      <c r="FQ3" s="51" t="s">
        <v>149</v>
      </c>
      <c r="FR3" s="51" t="s">
        <v>832</v>
      </c>
      <c r="FS3" s="51" t="str">
        <f t="shared" si="3"/>
        <v>Yes</v>
      </c>
      <c r="FT3" s="51" t="s">
        <v>149</v>
      </c>
      <c r="FU3" s="51" t="s">
        <v>832</v>
      </c>
      <c r="FV3" s="51" t="str">
        <f t="shared" si="4"/>
        <v>Yes</v>
      </c>
      <c r="FW3" s="51" t="str">
        <f t="shared" si="5"/>
        <v>Yes</v>
      </c>
      <c r="FX3" s="51" t="str">
        <f t="shared" ref="FX3:FX48" si="29">IF(OR(DW3="Yes",DU3="Yes"),"Yes","No")</f>
        <v>Yes</v>
      </c>
      <c r="FY3" s="51" t="str">
        <f t="shared" si="6"/>
        <v>Yes</v>
      </c>
      <c r="FZ3" s="51" t="str">
        <f t="shared" si="7"/>
        <v>Yes</v>
      </c>
      <c r="GA3" s="51" t="s">
        <v>149</v>
      </c>
      <c r="GB3" s="51" t="str">
        <f>GA3</f>
        <v>Yes</v>
      </c>
      <c r="GC3" s="51" t="s">
        <v>149</v>
      </c>
      <c r="GD3" s="51" t="str">
        <f>GC3</f>
        <v>Yes</v>
      </c>
      <c r="GE3" s="51" t="s">
        <v>149</v>
      </c>
      <c r="GF3" s="51" t="str">
        <f t="shared" si="8"/>
        <v>Yes</v>
      </c>
      <c r="GG3" s="51" t="s">
        <v>149</v>
      </c>
      <c r="GH3" s="51" t="str">
        <f t="shared" si="9"/>
        <v>Yes</v>
      </c>
      <c r="GI3" s="51" t="s">
        <v>149</v>
      </c>
      <c r="GJ3" s="51" t="s">
        <v>832</v>
      </c>
      <c r="GK3" s="51" t="str">
        <f t="shared" si="10"/>
        <v>Yes</v>
      </c>
      <c r="GL3" s="51" t="s">
        <v>149</v>
      </c>
      <c r="GM3" s="51" t="s">
        <v>149</v>
      </c>
      <c r="GN3" s="51" t="str">
        <f t="shared" si="11"/>
        <v>Yes</v>
      </c>
      <c r="GO3" s="51" t="s">
        <v>149</v>
      </c>
      <c r="GP3" s="51" t="s">
        <v>832</v>
      </c>
      <c r="GQ3" s="51" t="str">
        <f t="shared" si="12"/>
        <v>Yes</v>
      </c>
      <c r="GR3" s="51" t="s">
        <v>149</v>
      </c>
      <c r="GS3" s="51" t="str">
        <f t="shared" si="13"/>
        <v>Yes</v>
      </c>
      <c r="GT3" s="51" t="s">
        <v>149</v>
      </c>
      <c r="GU3" s="51" t="s">
        <v>149</v>
      </c>
      <c r="GV3" s="51" t="s">
        <v>149</v>
      </c>
      <c r="GW3" s="51" t="s">
        <v>149</v>
      </c>
      <c r="GX3" s="51" t="s">
        <v>149</v>
      </c>
      <c r="GY3" s="51" t="s">
        <v>149</v>
      </c>
      <c r="GZ3" s="51" t="s">
        <v>149</v>
      </c>
      <c r="HA3" s="51" t="str">
        <f t="shared" si="14"/>
        <v>Yes</v>
      </c>
      <c r="HB3" s="51" t="s">
        <v>149</v>
      </c>
      <c r="HC3" s="51" t="str">
        <f t="shared" si="15"/>
        <v>Yes</v>
      </c>
      <c r="HD3" s="51" t="s">
        <v>149</v>
      </c>
      <c r="HE3" s="51" t="str">
        <f>HD3</f>
        <v>Yes</v>
      </c>
      <c r="HF3" s="51" t="s">
        <v>832</v>
      </c>
      <c r="HG3" s="51" t="s">
        <v>832</v>
      </c>
      <c r="HH3" s="51" t="s">
        <v>832</v>
      </c>
      <c r="HI3" s="51" t="s">
        <v>832</v>
      </c>
      <c r="HJ3" s="51" t="s">
        <v>149</v>
      </c>
      <c r="HK3" s="51" t="s">
        <v>832</v>
      </c>
      <c r="HL3" s="51" t="s">
        <v>832</v>
      </c>
      <c r="HM3" s="51" t="s">
        <v>149</v>
      </c>
      <c r="HN3" s="51" t="str">
        <f t="shared" si="16"/>
        <v>Yes</v>
      </c>
      <c r="HO3" s="51" t="s">
        <v>149</v>
      </c>
      <c r="HP3" s="51" t="str">
        <f t="shared" si="17"/>
        <v>Yes</v>
      </c>
      <c r="HQ3" s="51" t="s">
        <v>149</v>
      </c>
      <c r="HR3" s="51" t="str">
        <f t="shared" si="18"/>
        <v>Yes</v>
      </c>
      <c r="HS3" s="51" t="s">
        <v>149</v>
      </c>
      <c r="HT3" s="51" t="str">
        <f t="shared" si="19"/>
        <v>Yes</v>
      </c>
      <c r="HU3" s="51" t="s">
        <v>149</v>
      </c>
      <c r="HV3" s="51" t="s">
        <v>149</v>
      </c>
      <c r="HW3" s="65" t="s">
        <v>832</v>
      </c>
      <c r="HX3" s="51" t="s">
        <v>149</v>
      </c>
      <c r="HY3" s="51" t="s">
        <v>149</v>
      </c>
      <c r="HZ3" s="51" t="str">
        <f t="shared" si="20"/>
        <v>Partial yes</v>
      </c>
      <c r="IA3" s="51" t="s">
        <v>149</v>
      </c>
      <c r="IB3" s="51" t="str">
        <f t="shared" si="21"/>
        <v>Yes</v>
      </c>
      <c r="IC3" s="51" t="s">
        <v>149</v>
      </c>
      <c r="ID3" s="51" t="str">
        <f t="shared" si="22"/>
        <v>Yes</v>
      </c>
      <c r="IE3" s="51" t="s">
        <v>832</v>
      </c>
      <c r="IF3" s="51" t="s">
        <v>832</v>
      </c>
      <c r="IG3" s="51" t="s">
        <v>832</v>
      </c>
      <c r="IH3" s="51" t="s">
        <v>832</v>
      </c>
      <c r="II3" s="51" t="s">
        <v>832</v>
      </c>
      <c r="IJ3" s="51" t="s">
        <v>149</v>
      </c>
      <c r="IK3" s="51" t="s">
        <v>149</v>
      </c>
      <c r="IL3" s="51" t="s">
        <v>149</v>
      </c>
      <c r="IM3" s="51" t="s">
        <v>150</v>
      </c>
      <c r="IN3" s="51" t="s">
        <v>149</v>
      </c>
      <c r="IP3" s="51" t="s">
        <v>149</v>
      </c>
      <c r="IR3" s="51" t="str">
        <f t="shared" si="23"/>
        <v>Partial yes</v>
      </c>
      <c r="IS3" s="51" t="s">
        <v>150</v>
      </c>
      <c r="IT3" s="51" t="s">
        <v>149</v>
      </c>
      <c r="IU3" s="51" t="s">
        <v>149</v>
      </c>
      <c r="IV3" s="51" t="str">
        <f t="shared" si="24"/>
        <v>Partial yes</v>
      </c>
      <c r="IW3" s="51" t="s">
        <v>149</v>
      </c>
      <c r="IX3" s="51" t="s">
        <v>149</v>
      </c>
      <c r="IY3" s="51" t="str">
        <f t="shared" si="25"/>
        <v>Yes</v>
      </c>
      <c r="IZ3" s="51" t="s">
        <v>149</v>
      </c>
      <c r="JA3" s="51" t="s">
        <v>149</v>
      </c>
      <c r="JB3" s="51" t="str">
        <f t="shared" si="26"/>
        <v>Yes</v>
      </c>
      <c r="JC3" s="51" t="s">
        <v>149</v>
      </c>
      <c r="JD3" s="51" t="s">
        <v>832</v>
      </c>
      <c r="JE3" s="51" t="str">
        <f t="shared" si="27"/>
        <v>Yes</v>
      </c>
      <c r="JF3" s="51" t="s">
        <v>149</v>
      </c>
      <c r="JG3" s="51" t="str">
        <f t="shared" si="28"/>
        <v>Yes</v>
      </c>
      <c r="JH3" s="51" t="s">
        <v>150</v>
      </c>
    </row>
    <row r="4" spans="1:268" s="51" customFormat="1" ht="16" x14ac:dyDescent="0.25">
      <c r="A4" s="50">
        <v>3</v>
      </c>
      <c r="B4" s="51" t="s">
        <v>197</v>
      </c>
      <c r="C4" s="51" t="s">
        <v>198</v>
      </c>
      <c r="D4" s="51" t="s">
        <v>199</v>
      </c>
      <c r="E4" s="52">
        <v>44027</v>
      </c>
      <c r="F4" s="51" t="s">
        <v>200</v>
      </c>
      <c r="G4" s="51" t="s">
        <v>149</v>
      </c>
      <c r="H4" s="51" t="s">
        <v>150</v>
      </c>
      <c r="I4" s="51" t="s">
        <v>201</v>
      </c>
      <c r="J4" s="51" t="s">
        <v>202</v>
      </c>
      <c r="K4" s="54" t="s">
        <v>203</v>
      </c>
      <c r="L4" s="51" t="s">
        <v>154</v>
      </c>
      <c r="M4" s="54" t="s">
        <v>204</v>
      </c>
      <c r="N4" s="53" t="s">
        <v>718</v>
      </c>
      <c r="O4" s="54" t="s">
        <v>205</v>
      </c>
      <c r="P4" s="51" t="s">
        <v>158</v>
      </c>
      <c r="Q4" s="51" t="s">
        <v>206</v>
      </c>
      <c r="R4" s="55"/>
      <c r="T4" s="55" t="s">
        <v>150</v>
      </c>
      <c r="U4" s="51" t="s">
        <v>149</v>
      </c>
      <c r="V4" s="51" t="s">
        <v>150</v>
      </c>
      <c r="W4" s="51" t="s">
        <v>150</v>
      </c>
      <c r="X4" s="51" t="s">
        <v>150</v>
      </c>
      <c r="Y4" s="51" t="s">
        <v>150</v>
      </c>
      <c r="Z4" s="51" t="s">
        <v>150</v>
      </c>
      <c r="AA4" s="56"/>
      <c r="AB4" s="51" t="s">
        <v>149</v>
      </c>
      <c r="AC4" s="51" t="s">
        <v>150</v>
      </c>
      <c r="AD4" s="51" t="s">
        <v>150</v>
      </c>
      <c r="AE4" s="51" t="s">
        <v>150</v>
      </c>
      <c r="AF4" s="56"/>
      <c r="AH4" s="57" t="s">
        <v>160</v>
      </c>
      <c r="AI4" s="146" t="s">
        <v>150</v>
      </c>
      <c r="AJ4" s="147" t="s">
        <v>149</v>
      </c>
      <c r="AK4" s="148" t="s">
        <v>207</v>
      </c>
      <c r="AL4" s="149">
        <v>43938</v>
      </c>
      <c r="AM4" s="51" t="s">
        <v>149</v>
      </c>
      <c r="AN4" s="52">
        <v>43936</v>
      </c>
      <c r="AO4" s="51" t="s">
        <v>149</v>
      </c>
      <c r="AP4" s="51" t="s">
        <v>208</v>
      </c>
      <c r="AQ4" s="54"/>
      <c r="AR4" s="58" t="s">
        <v>209</v>
      </c>
      <c r="AS4" s="51" t="s">
        <v>149</v>
      </c>
      <c r="AT4" s="51" t="s">
        <v>149</v>
      </c>
      <c r="AU4" s="51" t="s">
        <v>149</v>
      </c>
      <c r="AV4" s="51" t="s">
        <v>149</v>
      </c>
      <c r="AW4" s="51" t="s">
        <v>150</v>
      </c>
      <c r="AX4" s="51" t="s">
        <v>149</v>
      </c>
      <c r="AY4" s="59" t="s">
        <v>149</v>
      </c>
      <c r="AZ4" s="51" t="s">
        <v>149</v>
      </c>
      <c r="BA4" s="51" t="s">
        <v>149</v>
      </c>
      <c r="BB4" s="51" t="s">
        <v>149</v>
      </c>
      <c r="BC4" s="51" t="s">
        <v>149</v>
      </c>
      <c r="BD4" s="51" t="s">
        <v>150</v>
      </c>
      <c r="BE4" s="51" t="s">
        <v>149</v>
      </c>
      <c r="BF4" s="51" t="s">
        <v>149</v>
      </c>
      <c r="BG4" s="53" t="s">
        <v>149</v>
      </c>
      <c r="BH4" s="51" t="s">
        <v>149</v>
      </c>
      <c r="BI4" s="51" t="s">
        <v>149</v>
      </c>
      <c r="BJ4" s="54" t="s">
        <v>149</v>
      </c>
      <c r="BK4" s="51" t="s">
        <v>149</v>
      </c>
      <c r="BL4" s="51" t="s">
        <v>149</v>
      </c>
      <c r="BM4" s="53" t="s">
        <v>149</v>
      </c>
      <c r="BN4" s="51" t="s">
        <v>149</v>
      </c>
      <c r="BO4" s="51" t="s">
        <v>149</v>
      </c>
      <c r="BP4" s="51" t="s">
        <v>149</v>
      </c>
      <c r="BR4" s="51" t="s">
        <v>149</v>
      </c>
      <c r="BT4" s="53" t="s">
        <v>163</v>
      </c>
      <c r="BU4" s="51" t="s">
        <v>164</v>
      </c>
      <c r="BW4" s="59"/>
      <c r="BX4" s="54" t="s">
        <v>165</v>
      </c>
      <c r="BY4" s="51" t="s">
        <v>149</v>
      </c>
      <c r="BZ4" s="60" t="s">
        <v>210</v>
      </c>
      <c r="CA4" s="61">
        <v>882</v>
      </c>
      <c r="CB4" s="59">
        <v>12</v>
      </c>
      <c r="CC4" s="51">
        <v>2</v>
      </c>
      <c r="CD4" s="62">
        <v>10</v>
      </c>
      <c r="CE4" s="52">
        <v>43975</v>
      </c>
      <c r="CF4" s="51" t="s">
        <v>150</v>
      </c>
      <c r="CH4" s="54"/>
      <c r="CI4" s="51" t="s">
        <v>150</v>
      </c>
      <c r="CJ4" s="59"/>
      <c r="CK4" s="51" t="s">
        <v>150</v>
      </c>
      <c r="CL4" s="59"/>
      <c r="CM4" s="59" t="s">
        <v>150</v>
      </c>
      <c r="CN4" s="63" t="s">
        <v>149</v>
      </c>
      <c r="CO4" s="51" t="s">
        <v>149</v>
      </c>
      <c r="CP4" s="51" t="s">
        <v>149</v>
      </c>
      <c r="CQ4" s="51" t="s">
        <v>193</v>
      </c>
      <c r="CS4" s="51" t="s">
        <v>150</v>
      </c>
      <c r="CU4" s="64" t="s">
        <v>211</v>
      </c>
      <c r="CV4" s="53" t="s">
        <v>150</v>
      </c>
      <c r="CW4" s="64" t="s">
        <v>150</v>
      </c>
      <c r="CX4" s="64"/>
      <c r="DC4" s="64"/>
      <c r="DD4" s="53" t="s">
        <v>150</v>
      </c>
      <c r="DE4" s="64" t="s">
        <v>150</v>
      </c>
      <c r="DF4" s="64"/>
      <c r="DJ4" s="63"/>
      <c r="DK4" s="54"/>
      <c r="DL4" s="51" t="s">
        <v>150</v>
      </c>
      <c r="DM4" s="64" t="s">
        <v>150</v>
      </c>
      <c r="DN4" s="64"/>
      <c r="DS4" s="64"/>
      <c r="DT4" s="57" t="s">
        <v>150</v>
      </c>
      <c r="DU4" s="51" t="s">
        <v>150</v>
      </c>
      <c r="DW4" s="51" t="s">
        <v>150</v>
      </c>
      <c r="DX4" s="51" t="s">
        <v>212</v>
      </c>
      <c r="DY4" s="53" t="s">
        <v>150</v>
      </c>
      <c r="DZ4" s="51" t="s">
        <v>175</v>
      </c>
      <c r="EA4" s="51" t="s">
        <v>175</v>
      </c>
      <c r="EB4" s="54" t="s">
        <v>213</v>
      </c>
      <c r="EC4" s="53" t="s">
        <v>149</v>
      </c>
      <c r="ED4" s="64" t="s">
        <v>149</v>
      </c>
      <c r="EE4" s="51" t="s">
        <v>214</v>
      </c>
      <c r="EF4" s="51" t="s">
        <v>196</v>
      </c>
      <c r="EG4" s="51" t="s">
        <v>150</v>
      </c>
      <c r="EI4" s="63" t="s">
        <v>149</v>
      </c>
      <c r="EJ4" s="64" t="s">
        <v>150</v>
      </c>
      <c r="EK4" s="51" t="s">
        <v>150</v>
      </c>
      <c r="EL4" s="51" t="s">
        <v>149</v>
      </c>
      <c r="EM4" s="51" t="s">
        <v>150</v>
      </c>
      <c r="EN4" s="63"/>
      <c r="EO4" s="63" t="s">
        <v>215</v>
      </c>
      <c r="EP4" s="62" t="s">
        <v>216</v>
      </c>
      <c r="EQ4" s="129" t="s">
        <v>150</v>
      </c>
      <c r="ER4" s="132" t="s">
        <v>175</v>
      </c>
      <c r="ES4" s="51" t="s">
        <v>166</v>
      </c>
      <c r="ET4" s="51" t="s">
        <v>166</v>
      </c>
      <c r="EU4" s="54" t="s">
        <v>166</v>
      </c>
      <c r="EV4" s="142" t="s">
        <v>166</v>
      </c>
      <c r="EW4" s="42" t="str">
        <f t="shared" si="0"/>
        <v>Unclear</v>
      </c>
      <c r="EX4" s="141"/>
      <c r="EY4" s="51" t="s">
        <v>149</v>
      </c>
      <c r="EZ4" s="51" t="s">
        <v>149</v>
      </c>
      <c r="FA4" s="51" t="s">
        <v>150</v>
      </c>
      <c r="FB4" s="54" t="str">
        <f t="shared" si="1"/>
        <v>Partial yes</v>
      </c>
      <c r="FC4" s="51" t="s">
        <v>150</v>
      </c>
      <c r="FD4" s="51" t="s">
        <v>149</v>
      </c>
      <c r="FE4" s="51" t="s">
        <v>149</v>
      </c>
      <c r="FF4" s="51" t="s">
        <v>150</v>
      </c>
      <c r="FG4" s="51" t="s">
        <v>150</v>
      </c>
      <c r="FH4" s="51" t="s">
        <v>149</v>
      </c>
      <c r="FI4" s="51" t="s">
        <v>149</v>
      </c>
      <c r="FJ4" s="51" t="s">
        <v>149</v>
      </c>
      <c r="FK4" s="51" t="s">
        <v>149</v>
      </c>
      <c r="FL4" s="51" t="s">
        <v>149</v>
      </c>
      <c r="FM4" s="51" t="s">
        <v>149</v>
      </c>
      <c r="FN4" s="51" t="s">
        <v>150</v>
      </c>
      <c r="FO4" s="51" t="str">
        <f t="shared" si="2"/>
        <v>Partial yes</v>
      </c>
      <c r="FP4" s="51" t="s">
        <v>149</v>
      </c>
      <c r="FQ4" s="51" t="s">
        <v>149</v>
      </c>
      <c r="FR4" s="51" t="s">
        <v>832</v>
      </c>
      <c r="FS4" s="51" t="str">
        <f t="shared" si="3"/>
        <v>Yes</v>
      </c>
      <c r="FT4" s="51" t="s">
        <v>149</v>
      </c>
      <c r="FU4" s="51" t="s">
        <v>832</v>
      </c>
      <c r="FV4" s="51" t="str">
        <f t="shared" si="4"/>
        <v>Yes</v>
      </c>
      <c r="FW4" s="51" t="str">
        <f t="shared" si="5"/>
        <v>No</v>
      </c>
      <c r="FX4" s="51" t="str">
        <f t="shared" si="29"/>
        <v>No</v>
      </c>
      <c r="FY4" s="51" t="str">
        <f t="shared" si="6"/>
        <v>Yes</v>
      </c>
      <c r="FZ4" s="51" t="str">
        <f t="shared" si="7"/>
        <v>Partial yes</v>
      </c>
      <c r="GA4" s="51" t="s">
        <v>149</v>
      </c>
      <c r="GB4" s="51" t="s">
        <v>149</v>
      </c>
      <c r="GC4" s="51" t="s">
        <v>149</v>
      </c>
      <c r="GD4" s="51" t="str">
        <f>GC4</f>
        <v>Yes</v>
      </c>
      <c r="GE4" s="51" t="s">
        <v>149</v>
      </c>
      <c r="GF4" s="51" t="str">
        <f t="shared" si="8"/>
        <v>Yes</v>
      </c>
      <c r="GG4" s="51" t="s">
        <v>149</v>
      </c>
      <c r="GH4" s="51" t="str">
        <f t="shared" si="9"/>
        <v>Yes</v>
      </c>
      <c r="GI4" s="51" t="s">
        <v>149</v>
      </c>
      <c r="GJ4" s="51" t="s">
        <v>832</v>
      </c>
      <c r="GK4" s="51" t="str">
        <f t="shared" si="10"/>
        <v>Yes</v>
      </c>
      <c r="GL4" s="51" t="s">
        <v>149</v>
      </c>
      <c r="GM4" s="51" t="s">
        <v>149</v>
      </c>
      <c r="GN4" s="51" t="str">
        <f t="shared" si="11"/>
        <v>Yes</v>
      </c>
      <c r="GO4" s="51" t="s">
        <v>149</v>
      </c>
      <c r="GP4" s="51" t="s">
        <v>832</v>
      </c>
      <c r="GQ4" s="51" t="str">
        <f t="shared" si="12"/>
        <v>Yes</v>
      </c>
      <c r="GR4" s="51" t="s">
        <v>149</v>
      </c>
      <c r="GS4" s="51" t="str">
        <f t="shared" si="13"/>
        <v>Yes</v>
      </c>
      <c r="GT4" s="51" t="s">
        <v>149</v>
      </c>
      <c r="GU4" s="51" t="s">
        <v>149</v>
      </c>
      <c r="GV4" s="51" t="s">
        <v>149</v>
      </c>
      <c r="GW4" s="51" t="s">
        <v>149</v>
      </c>
      <c r="GX4" s="51" t="s">
        <v>150</v>
      </c>
      <c r="GY4" s="51" t="s">
        <v>149</v>
      </c>
      <c r="GZ4" s="51" t="s">
        <v>149</v>
      </c>
      <c r="HA4" s="51" t="str">
        <f t="shared" si="14"/>
        <v>Partial yes</v>
      </c>
      <c r="HB4" s="51" t="s">
        <v>150</v>
      </c>
      <c r="HC4" s="51" t="str">
        <f t="shared" si="15"/>
        <v>No</v>
      </c>
      <c r="HD4" s="51" t="s">
        <v>149</v>
      </c>
      <c r="HE4" s="51" t="s">
        <v>149</v>
      </c>
      <c r="HF4" s="51" t="s">
        <v>832</v>
      </c>
      <c r="HG4" s="51" t="s">
        <v>832</v>
      </c>
      <c r="HH4" s="51" t="s">
        <v>832</v>
      </c>
      <c r="HI4" s="51" t="s">
        <v>832</v>
      </c>
      <c r="HJ4" s="51" t="s">
        <v>149</v>
      </c>
      <c r="HK4" s="51" t="s">
        <v>832</v>
      </c>
      <c r="HL4" s="51" t="s">
        <v>832</v>
      </c>
      <c r="HM4" s="51" t="s">
        <v>149</v>
      </c>
      <c r="HN4" s="51" t="str">
        <f t="shared" si="16"/>
        <v>Yes</v>
      </c>
      <c r="HO4" s="51" t="s">
        <v>149</v>
      </c>
      <c r="HP4" s="51" t="str">
        <f t="shared" si="17"/>
        <v>Yes</v>
      </c>
      <c r="HQ4" s="51" t="s">
        <v>149</v>
      </c>
      <c r="HR4" s="51" t="str">
        <f t="shared" si="18"/>
        <v>Yes</v>
      </c>
      <c r="HS4" s="51" t="s">
        <v>149</v>
      </c>
      <c r="HT4" s="51" t="str">
        <f t="shared" si="19"/>
        <v>Yes</v>
      </c>
      <c r="HU4" s="51" t="s">
        <v>149</v>
      </c>
      <c r="HV4" s="51" t="s">
        <v>149</v>
      </c>
      <c r="HW4" s="65" t="s">
        <v>832</v>
      </c>
      <c r="HX4" s="51" t="s">
        <v>149</v>
      </c>
      <c r="HY4" s="51" t="s">
        <v>150</v>
      </c>
      <c r="HZ4" s="51" t="str">
        <f t="shared" si="20"/>
        <v>Partial yes</v>
      </c>
      <c r="IA4" s="51" t="s">
        <v>150</v>
      </c>
      <c r="IB4" s="51" t="str">
        <f t="shared" si="21"/>
        <v>No</v>
      </c>
      <c r="IC4" s="51" t="s">
        <v>149</v>
      </c>
      <c r="ID4" s="51" t="str">
        <f t="shared" si="22"/>
        <v>Yes</v>
      </c>
      <c r="IE4" s="51" t="s">
        <v>832</v>
      </c>
      <c r="IF4" s="51" t="s">
        <v>832</v>
      </c>
      <c r="IG4" s="51" t="s">
        <v>832</v>
      </c>
      <c r="IH4" s="51" t="s">
        <v>832</v>
      </c>
      <c r="II4" s="51" t="s">
        <v>832</v>
      </c>
      <c r="IJ4" s="51" t="s">
        <v>149</v>
      </c>
      <c r="IK4" s="51" t="s">
        <v>149</v>
      </c>
      <c r="IL4" s="51" t="s">
        <v>149</v>
      </c>
      <c r="IM4" s="51" t="s">
        <v>150</v>
      </c>
      <c r="IN4" s="51" t="s">
        <v>149</v>
      </c>
      <c r="IP4" s="51" t="s">
        <v>150</v>
      </c>
      <c r="IR4" s="51" t="str">
        <f t="shared" si="23"/>
        <v>Partial yes</v>
      </c>
      <c r="IS4" s="51" t="s">
        <v>149</v>
      </c>
      <c r="IT4" s="51" t="s">
        <v>149</v>
      </c>
      <c r="IU4" s="51" t="s">
        <v>150</v>
      </c>
      <c r="IV4" s="51" t="str">
        <f t="shared" si="24"/>
        <v>Partial yes</v>
      </c>
      <c r="IW4" s="51" t="s">
        <v>149</v>
      </c>
      <c r="IX4" s="51" t="s">
        <v>149</v>
      </c>
      <c r="IY4" s="51" t="str">
        <f t="shared" si="25"/>
        <v>Yes</v>
      </c>
      <c r="IZ4" s="51" t="s">
        <v>149</v>
      </c>
      <c r="JA4" s="51" t="s">
        <v>149</v>
      </c>
      <c r="JB4" s="51" t="str">
        <f t="shared" si="26"/>
        <v>Yes</v>
      </c>
      <c r="JC4" s="51" t="s">
        <v>149</v>
      </c>
      <c r="JD4" s="51" t="s">
        <v>832</v>
      </c>
      <c r="JE4" s="51" t="str">
        <f t="shared" si="27"/>
        <v>Yes</v>
      </c>
      <c r="JF4" s="51" t="s">
        <v>149</v>
      </c>
      <c r="JG4" s="51" t="str">
        <f t="shared" si="28"/>
        <v>Yes</v>
      </c>
      <c r="JH4" s="51" t="s">
        <v>149</v>
      </c>
    </row>
    <row r="5" spans="1:268" s="68" customFormat="1" ht="16" x14ac:dyDescent="0.25">
      <c r="A5" s="67">
        <v>6</v>
      </c>
      <c r="B5" s="68" t="s">
        <v>223</v>
      </c>
      <c r="C5" s="68" t="s">
        <v>224</v>
      </c>
      <c r="D5" s="68" t="s">
        <v>225</v>
      </c>
      <c r="E5" s="69">
        <v>44091</v>
      </c>
      <c r="F5" s="68" t="s">
        <v>226</v>
      </c>
      <c r="G5" s="68" t="s">
        <v>149</v>
      </c>
      <c r="H5" s="68" t="s">
        <v>150</v>
      </c>
      <c r="I5" s="68" t="s">
        <v>227</v>
      </c>
      <c r="J5" s="68" t="s">
        <v>202</v>
      </c>
      <c r="K5" s="70" t="s">
        <v>203</v>
      </c>
      <c r="L5" s="68" t="s">
        <v>154</v>
      </c>
      <c r="M5" s="70" t="s">
        <v>228</v>
      </c>
      <c r="N5" s="68" t="s">
        <v>717</v>
      </c>
      <c r="O5" s="70" t="s">
        <v>229</v>
      </c>
      <c r="P5" s="68" t="s">
        <v>185</v>
      </c>
      <c r="Q5" s="68" t="s">
        <v>206</v>
      </c>
      <c r="R5" s="71">
        <v>2</v>
      </c>
      <c r="S5" s="68" t="s">
        <v>230</v>
      </c>
      <c r="T5" s="71" t="s">
        <v>149</v>
      </c>
      <c r="U5" s="68" t="s">
        <v>149</v>
      </c>
      <c r="V5" s="68" t="s">
        <v>150</v>
      </c>
      <c r="W5" s="68" t="s">
        <v>150</v>
      </c>
      <c r="X5" s="68" t="s">
        <v>150</v>
      </c>
      <c r="Y5" s="68" t="s">
        <v>150</v>
      </c>
      <c r="Z5" s="68" t="s">
        <v>150</v>
      </c>
      <c r="AA5" s="72"/>
      <c r="AB5" s="68" t="s">
        <v>149</v>
      </c>
      <c r="AC5" s="68" t="s">
        <v>150</v>
      </c>
      <c r="AD5" s="68" t="s">
        <v>150</v>
      </c>
      <c r="AE5" s="68" t="s">
        <v>150</v>
      </c>
      <c r="AF5" s="72"/>
      <c r="AH5" s="73" t="s">
        <v>165</v>
      </c>
      <c r="AI5" s="146" t="s">
        <v>842</v>
      </c>
      <c r="AJ5" s="150" t="s">
        <v>149</v>
      </c>
      <c r="AK5" s="151" t="s">
        <v>231</v>
      </c>
      <c r="AL5" s="152">
        <v>43960</v>
      </c>
      <c r="AM5" s="68" t="s">
        <v>149</v>
      </c>
      <c r="AN5" s="69">
        <v>43935</v>
      </c>
      <c r="AO5" s="68" t="s">
        <v>149</v>
      </c>
      <c r="AP5" s="68" t="s">
        <v>232</v>
      </c>
      <c r="AQ5" s="70"/>
      <c r="AR5" s="75"/>
      <c r="AS5" s="68" t="s">
        <v>149</v>
      </c>
      <c r="AT5" s="68" t="s">
        <v>149</v>
      </c>
      <c r="AU5" s="68" t="s">
        <v>149</v>
      </c>
      <c r="AV5" s="68" t="s">
        <v>150</v>
      </c>
      <c r="AW5" s="68" t="s">
        <v>149</v>
      </c>
      <c r="AX5" s="68" t="s">
        <v>149</v>
      </c>
      <c r="AY5" s="76" t="s">
        <v>149</v>
      </c>
      <c r="AZ5" s="68" t="s">
        <v>149</v>
      </c>
      <c r="BA5" s="68" t="s">
        <v>149</v>
      </c>
      <c r="BB5" s="68" t="s">
        <v>149</v>
      </c>
      <c r="BC5" s="68" t="s">
        <v>149</v>
      </c>
      <c r="BD5" s="68" t="s">
        <v>150</v>
      </c>
      <c r="BE5" s="68" t="s">
        <v>150</v>
      </c>
      <c r="BF5" s="68" t="s">
        <v>149</v>
      </c>
      <c r="BG5" s="74" t="s">
        <v>149</v>
      </c>
      <c r="BH5" s="68" t="s">
        <v>149</v>
      </c>
      <c r="BI5" s="68" t="s">
        <v>149</v>
      </c>
      <c r="BJ5" s="70" t="s">
        <v>149</v>
      </c>
      <c r="BK5" s="68" t="s">
        <v>149</v>
      </c>
      <c r="BL5" s="68" t="s">
        <v>149</v>
      </c>
      <c r="BM5" s="74" t="s">
        <v>149</v>
      </c>
      <c r="BN5" s="68" t="s">
        <v>149</v>
      </c>
      <c r="BO5" s="68" t="s">
        <v>149</v>
      </c>
      <c r="BP5" s="68" t="s">
        <v>149</v>
      </c>
      <c r="BR5" s="68" t="s">
        <v>191</v>
      </c>
      <c r="BT5" s="74" t="s">
        <v>163</v>
      </c>
      <c r="BU5" s="68" t="s">
        <v>165</v>
      </c>
      <c r="BW5" s="76"/>
      <c r="BX5" s="70" t="s">
        <v>174</v>
      </c>
      <c r="BY5" s="68" t="s">
        <v>149</v>
      </c>
      <c r="BZ5" s="77"/>
      <c r="CA5" s="78">
        <v>6693</v>
      </c>
      <c r="CB5" s="76">
        <v>33</v>
      </c>
      <c r="CC5" s="68">
        <v>33</v>
      </c>
      <c r="CD5" s="79">
        <v>0</v>
      </c>
      <c r="CE5" s="69">
        <v>44050</v>
      </c>
      <c r="CF5" s="68" t="s">
        <v>150</v>
      </c>
      <c r="CH5" s="70"/>
      <c r="CI5" s="68" t="s">
        <v>150</v>
      </c>
      <c r="CJ5" s="76"/>
      <c r="CK5" s="68" t="s">
        <v>149</v>
      </c>
      <c r="CL5" s="76" t="s">
        <v>220</v>
      </c>
      <c r="CM5" s="76" t="s">
        <v>149</v>
      </c>
      <c r="CN5" s="80" t="s">
        <v>150</v>
      </c>
      <c r="CU5" s="81"/>
      <c r="CV5" s="74" t="s">
        <v>149</v>
      </c>
      <c r="CW5" s="81" t="s">
        <v>150</v>
      </c>
      <c r="CX5" s="81"/>
      <c r="DC5" s="81"/>
      <c r="DD5" s="74" t="s">
        <v>149</v>
      </c>
      <c r="DE5" s="81" t="s">
        <v>150</v>
      </c>
      <c r="DF5" s="81"/>
      <c r="DJ5" s="80"/>
      <c r="DK5" s="70"/>
      <c r="DL5" s="68" t="s">
        <v>149</v>
      </c>
      <c r="DM5" s="81" t="s">
        <v>150</v>
      </c>
      <c r="DN5" s="81"/>
      <c r="DS5" s="81"/>
      <c r="DT5" s="73" t="s">
        <v>150</v>
      </c>
      <c r="DU5" s="68" t="s">
        <v>150</v>
      </c>
      <c r="DW5" s="68" t="s">
        <v>149</v>
      </c>
      <c r="DY5" s="74" t="s">
        <v>150</v>
      </c>
      <c r="DZ5" s="68" t="s">
        <v>150</v>
      </c>
      <c r="EB5" s="70"/>
      <c r="EC5" s="74" t="s">
        <v>149</v>
      </c>
      <c r="ED5" s="81" t="s">
        <v>150</v>
      </c>
      <c r="EF5" s="68" t="s">
        <v>196</v>
      </c>
      <c r="EG5" s="68" t="s">
        <v>150</v>
      </c>
      <c r="EI5" s="80" t="s">
        <v>150</v>
      </c>
      <c r="EJ5" s="81"/>
      <c r="EN5" s="80"/>
      <c r="EO5" s="80"/>
      <c r="EP5" s="79"/>
      <c r="EQ5" s="130" t="s">
        <v>149</v>
      </c>
      <c r="ER5" s="133" t="s">
        <v>166</v>
      </c>
      <c r="ES5" s="68" t="s">
        <v>166</v>
      </c>
      <c r="ET5" s="68" t="s">
        <v>166</v>
      </c>
      <c r="EU5" s="70" t="s">
        <v>175</v>
      </c>
      <c r="EV5" s="143" t="s">
        <v>166</v>
      </c>
      <c r="EW5" s="42" t="str">
        <f t="shared" si="0"/>
        <v>Unclear</v>
      </c>
      <c r="EX5" s="141"/>
      <c r="EY5" s="68" t="s">
        <v>149</v>
      </c>
      <c r="EZ5" s="68" t="s">
        <v>149</v>
      </c>
      <c r="FA5" s="68" t="s">
        <v>149</v>
      </c>
      <c r="FB5" s="70" t="str">
        <f t="shared" si="1"/>
        <v>Yes</v>
      </c>
      <c r="FC5" s="68" t="s">
        <v>149</v>
      </c>
      <c r="FD5" s="68" t="s">
        <v>149</v>
      </c>
      <c r="FE5" s="68" t="s">
        <v>149</v>
      </c>
      <c r="FF5" s="68" t="s">
        <v>149</v>
      </c>
      <c r="FG5" s="68" t="s">
        <v>150</v>
      </c>
      <c r="FH5" s="68" t="s">
        <v>149</v>
      </c>
      <c r="FI5" s="68" t="s">
        <v>149</v>
      </c>
      <c r="FJ5" s="68" t="s">
        <v>149</v>
      </c>
      <c r="FK5" s="68" t="s">
        <v>149</v>
      </c>
      <c r="FL5" s="68" t="s">
        <v>149</v>
      </c>
      <c r="FM5" s="68" t="s">
        <v>149</v>
      </c>
      <c r="FN5" s="68" t="s">
        <v>150</v>
      </c>
      <c r="FO5" s="68" t="str">
        <f t="shared" si="2"/>
        <v>Partial yes</v>
      </c>
      <c r="FP5" s="68" t="s">
        <v>149</v>
      </c>
      <c r="FQ5" s="68" t="s">
        <v>149</v>
      </c>
      <c r="FR5" s="68" t="s">
        <v>832</v>
      </c>
      <c r="FS5" s="68" t="str">
        <f t="shared" si="3"/>
        <v>Yes</v>
      </c>
      <c r="FT5" s="68" t="s">
        <v>149</v>
      </c>
      <c r="FU5" s="68" t="s">
        <v>832</v>
      </c>
      <c r="FV5" s="68" t="str">
        <f t="shared" si="4"/>
        <v>Yes</v>
      </c>
      <c r="FW5" s="68" t="str">
        <f t="shared" si="5"/>
        <v>Yes</v>
      </c>
      <c r="FX5" s="68" t="str">
        <f t="shared" si="29"/>
        <v>Yes</v>
      </c>
      <c r="FY5" s="68" t="str">
        <f t="shared" si="6"/>
        <v>No</v>
      </c>
      <c r="FZ5" s="68" t="str">
        <f t="shared" si="7"/>
        <v>Partial yes</v>
      </c>
      <c r="GA5" s="68" t="s">
        <v>149</v>
      </c>
      <c r="GB5" s="68" t="str">
        <f>GA5</f>
        <v>Yes</v>
      </c>
      <c r="GC5" s="68" t="s">
        <v>149</v>
      </c>
      <c r="GD5" s="68" t="s">
        <v>149</v>
      </c>
      <c r="GE5" s="68" t="s">
        <v>149</v>
      </c>
      <c r="GF5" s="68" t="str">
        <f t="shared" si="8"/>
        <v>Yes</v>
      </c>
      <c r="GG5" s="68" t="s">
        <v>149</v>
      </c>
      <c r="GH5" s="68" t="str">
        <f t="shared" si="9"/>
        <v>Yes</v>
      </c>
      <c r="GI5" s="68" t="s">
        <v>149</v>
      </c>
      <c r="GJ5" s="68" t="s">
        <v>832</v>
      </c>
      <c r="GK5" s="68" t="str">
        <f t="shared" si="10"/>
        <v>Yes</v>
      </c>
      <c r="GL5" s="68" t="s">
        <v>150</v>
      </c>
      <c r="GM5" s="68" t="s">
        <v>150</v>
      </c>
      <c r="GN5" s="68" t="str">
        <f t="shared" si="11"/>
        <v>No</v>
      </c>
      <c r="GO5" s="68" t="s">
        <v>149</v>
      </c>
      <c r="GP5" s="68" t="s">
        <v>832</v>
      </c>
      <c r="GQ5" s="68" t="str">
        <f t="shared" si="12"/>
        <v>Yes</v>
      </c>
      <c r="GR5" s="68" t="s">
        <v>149</v>
      </c>
      <c r="GS5" s="68" t="str">
        <f t="shared" si="13"/>
        <v>Yes</v>
      </c>
      <c r="GT5" s="68" t="s">
        <v>150</v>
      </c>
      <c r="GU5" s="68" t="s">
        <v>149</v>
      </c>
      <c r="GV5" s="68" t="s">
        <v>149</v>
      </c>
      <c r="GW5" s="68" t="s">
        <v>149</v>
      </c>
      <c r="GX5" s="68" t="s">
        <v>150</v>
      </c>
      <c r="GY5" s="68" t="s">
        <v>149</v>
      </c>
      <c r="GZ5" s="68" t="s">
        <v>150</v>
      </c>
      <c r="HA5" s="68" t="str">
        <f t="shared" si="14"/>
        <v>Partial yes</v>
      </c>
      <c r="HB5" s="68" t="s">
        <v>150</v>
      </c>
      <c r="HC5" s="68" t="str">
        <f t="shared" si="15"/>
        <v>No</v>
      </c>
      <c r="HD5" s="68" t="s">
        <v>149</v>
      </c>
      <c r="HE5" s="68" t="str">
        <f>HD5</f>
        <v>Yes</v>
      </c>
      <c r="HF5" s="68" t="s">
        <v>832</v>
      </c>
      <c r="HG5" s="68" t="s">
        <v>832</v>
      </c>
      <c r="HH5" s="68" t="s">
        <v>832</v>
      </c>
      <c r="HI5" s="68" t="s">
        <v>832</v>
      </c>
      <c r="HJ5" s="68" t="s">
        <v>149</v>
      </c>
      <c r="HK5" s="68" t="s">
        <v>832</v>
      </c>
      <c r="HL5" s="68" t="s">
        <v>832</v>
      </c>
      <c r="HM5" s="68" t="s">
        <v>149</v>
      </c>
      <c r="HN5" s="68" t="str">
        <f t="shared" si="16"/>
        <v>Yes</v>
      </c>
      <c r="HO5" s="68" t="s">
        <v>149</v>
      </c>
      <c r="HP5" s="68" t="str">
        <f t="shared" si="17"/>
        <v>Yes</v>
      </c>
      <c r="HQ5" s="68" t="s">
        <v>149</v>
      </c>
      <c r="HR5" s="68" t="str">
        <f t="shared" si="18"/>
        <v>Yes</v>
      </c>
      <c r="HS5" s="68" t="s">
        <v>149</v>
      </c>
      <c r="HT5" s="68" t="str">
        <f t="shared" si="19"/>
        <v>Yes</v>
      </c>
      <c r="HU5" s="68" t="s">
        <v>149</v>
      </c>
      <c r="HV5" s="68" t="s">
        <v>149</v>
      </c>
      <c r="HW5" s="82" t="s">
        <v>832</v>
      </c>
      <c r="HX5" s="68" t="s">
        <v>149</v>
      </c>
      <c r="HY5" s="68" t="s">
        <v>149</v>
      </c>
      <c r="HZ5" s="68" t="str">
        <f t="shared" si="20"/>
        <v>Partial yes</v>
      </c>
      <c r="IA5" s="68" t="s">
        <v>150</v>
      </c>
      <c r="IB5" s="68" t="str">
        <f t="shared" si="21"/>
        <v>No</v>
      </c>
      <c r="IC5" s="68" t="s">
        <v>149</v>
      </c>
      <c r="ID5" s="68" t="str">
        <f t="shared" si="22"/>
        <v>Yes</v>
      </c>
      <c r="IE5" s="68" t="s">
        <v>832</v>
      </c>
      <c r="IF5" s="68" t="s">
        <v>832</v>
      </c>
      <c r="IG5" s="68" t="s">
        <v>832</v>
      </c>
      <c r="IH5" s="68" t="s">
        <v>832</v>
      </c>
      <c r="II5" s="68" t="s">
        <v>832</v>
      </c>
      <c r="IJ5" s="68" t="s">
        <v>149</v>
      </c>
      <c r="IK5" s="68" t="s">
        <v>149</v>
      </c>
      <c r="IL5" s="68" t="s">
        <v>149</v>
      </c>
      <c r="IM5" s="68" t="s">
        <v>150</v>
      </c>
      <c r="IN5" s="68" t="s">
        <v>149</v>
      </c>
      <c r="IP5" s="68" t="s">
        <v>149</v>
      </c>
      <c r="IR5" s="68" t="str">
        <f t="shared" si="23"/>
        <v>Partial yes</v>
      </c>
      <c r="IS5" s="68" t="s">
        <v>149</v>
      </c>
      <c r="IT5" s="68" t="s">
        <v>149</v>
      </c>
      <c r="IU5" s="68" t="s">
        <v>149</v>
      </c>
      <c r="IV5" s="68" t="str">
        <f t="shared" si="24"/>
        <v>Yes</v>
      </c>
      <c r="IW5" s="68" t="s">
        <v>149</v>
      </c>
      <c r="IX5" s="68" t="s">
        <v>149</v>
      </c>
      <c r="IY5" s="68" t="str">
        <f t="shared" si="25"/>
        <v>Yes</v>
      </c>
      <c r="IZ5" s="68" t="s">
        <v>149</v>
      </c>
      <c r="JA5" s="68" t="s">
        <v>149</v>
      </c>
      <c r="JB5" s="68" t="str">
        <f t="shared" si="26"/>
        <v>Yes</v>
      </c>
      <c r="JC5" s="68" t="s">
        <v>149</v>
      </c>
      <c r="JD5" s="68" t="s">
        <v>832</v>
      </c>
      <c r="JE5" s="68" t="str">
        <f t="shared" si="27"/>
        <v>Yes</v>
      </c>
      <c r="JF5" s="68" t="s">
        <v>149</v>
      </c>
      <c r="JG5" s="68" t="str">
        <f t="shared" si="28"/>
        <v>Yes</v>
      </c>
      <c r="JH5" s="51" t="s">
        <v>150</v>
      </c>
    </row>
    <row r="6" spans="1:268" s="84" customFormat="1" ht="16" x14ac:dyDescent="0.25">
      <c r="A6" s="83">
        <v>7</v>
      </c>
      <c r="B6" s="84" t="s">
        <v>233</v>
      </c>
      <c r="C6" s="84" t="s">
        <v>234</v>
      </c>
      <c r="D6" s="84" t="s">
        <v>235</v>
      </c>
      <c r="E6" s="85">
        <v>44130</v>
      </c>
      <c r="F6" s="84" t="s">
        <v>236</v>
      </c>
      <c r="G6" s="84" t="s">
        <v>149</v>
      </c>
      <c r="H6" s="84" t="s">
        <v>150</v>
      </c>
      <c r="I6" s="84" t="s">
        <v>227</v>
      </c>
      <c r="J6" s="84" t="s">
        <v>237</v>
      </c>
      <c r="K6" s="86" t="s">
        <v>238</v>
      </c>
      <c r="L6" s="84" t="s">
        <v>173</v>
      </c>
      <c r="M6" s="86" t="s">
        <v>239</v>
      </c>
      <c r="N6" s="87" t="s">
        <v>717</v>
      </c>
      <c r="O6" s="86" t="s">
        <v>240</v>
      </c>
      <c r="P6" s="84" t="s">
        <v>158</v>
      </c>
      <c r="Q6" s="84" t="s">
        <v>241</v>
      </c>
      <c r="R6" s="88"/>
      <c r="T6" s="88" t="s">
        <v>150</v>
      </c>
      <c r="U6" s="84" t="s">
        <v>150</v>
      </c>
      <c r="V6" s="84" t="s">
        <v>150</v>
      </c>
      <c r="W6" s="84" t="s">
        <v>149</v>
      </c>
      <c r="X6" s="84" t="s">
        <v>150</v>
      </c>
      <c r="Y6" s="84" t="s">
        <v>150</v>
      </c>
      <c r="Z6" s="84" t="s">
        <v>150</v>
      </c>
      <c r="AA6" s="89"/>
      <c r="AB6" s="84" t="s">
        <v>149</v>
      </c>
      <c r="AC6" s="84" t="s">
        <v>150</v>
      </c>
      <c r="AD6" s="84" t="s">
        <v>150</v>
      </c>
      <c r="AE6" s="84" t="s">
        <v>150</v>
      </c>
      <c r="AF6" s="89"/>
      <c r="AH6" s="90" t="s">
        <v>242</v>
      </c>
      <c r="AI6" s="146" t="s">
        <v>149</v>
      </c>
      <c r="AJ6" s="156" t="s">
        <v>149</v>
      </c>
      <c r="AK6" s="157" t="s">
        <v>243</v>
      </c>
      <c r="AL6" s="158">
        <v>43422</v>
      </c>
      <c r="AM6" s="84" t="s">
        <v>149</v>
      </c>
      <c r="AN6" s="85">
        <v>43171</v>
      </c>
      <c r="AO6" s="84" t="s">
        <v>149</v>
      </c>
      <c r="AP6" s="84" t="s">
        <v>244</v>
      </c>
      <c r="AQ6" s="86"/>
      <c r="AR6" s="91"/>
      <c r="AS6" s="84" t="s">
        <v>149</v>
      </c>
      <c r="AT6" s="84" t="s">
        <v>149</v>
      </c>
      <c r="AU6" s="84" t="s">
        <v>149</v>
      </c>
      <c r="AV6" s="84" t="s">
        <v>150</v>
      </c>
      <c r="AW6" s="84" t="s">
        <v>149</v>
      </c>
      <c r="AX6" s="84" t="s">
        <v>149</v>
      </c>
      <c r="AY6" s="92" t="s">
        <v>149</v>
      </c>
      <c r="AZ6" s="84" t="s">
        <v>149</v>
      </c>
      <c r="BA6" s="84" t="s">
        <v>149</v>
      </c>
      <c r="BB6" s="84" t="s">
        <v>149</v>
      </c>
      <c r="BC6" s="84" t="s">
        <v>149</v>
      </c>
      <c r="BD6" s="84" t="s">
        <v>149</v>
      </c>
      <c r="BE6" s="84" t="s">
        <v>149</v>
      </c>
      <c r="BF6" s="84" t="s">
        <v>149</v>
      </c>
      <c r="BG6" s="87" t="s">
        <v>149</v>
      </c>
      <c r="BH6" s="84" t="s">
        <v>149</v>
      </c>
      <c r="BI6" s="84" t="s">
        <v>149</v>
      </c>
      <c r="BJ6" s="86" t="s">
        <v>149</v>
      </c>
      <c r="BK6" s="84" t="s">
        <v>149</v>
      </c>
      <c r="BL6" s="84" t="s">
        <v>149</v>
      </c>
      <c r="BM6" s="87" t="s">
        <v>149</v>
      </c>
      <c r="BN6" s="84" t="s">
        <v>149</v>
      </c>
      <c r="BO6" s="84" t="s">
        <v>149</v>
      </c>
      <c r="BP6" s="84" t="s">
        <v>149</v>
      </c>
      <c r="BR6" s="84" t="s">
        <v>191</v>
      </c>
      <c r="BT6" s="87" t="s">
        <v>245</v>
      </c>
      <c r="BU6" s="84" t="s">
        <v>165</v>
      </c>
      <c r="BW6" s="92" t="s">
        <v>246</v>
      </c>
      <c r="BX6" s="86" t="s">
        <v>688</v>
      </c>
      <c r="BY6" s="84" t="s">
        <v>149</v>
      </c>
      <c r="BZ6" s="93" t="s">
        <v>210</v>
      </c>
      <c r="CA6" s="94">
        <v>8875</v>
      </c>
      <c r="CB6" s="92">
        <v>22</v>
      </c>
      <c r="CC6" s="84">
        <v>22</v>
      </c>
      <c r="CD6" s="95">
        <v>0</v>
      </c>
      <c r="CE6" s="85">
        <v>43620</v>
      </c>
      <c r="CF6" s="84" t="s">
        <v>150</v>
      </c>
      <c r="CH6" s="86"/>
      <c r="CI6" s="84" t="s">
        <v>149</v>
      </c>
      <c r="CJ6" s="92">
        <v>5</v>
      </c>
      <c r="CK6" s="84" t="s">
        <v>149</v>
      </c>
      <c r="CL6" s="92" t="s">
        <v>247</v>
      </c>
      <c r="CM6" s="92" t="s">
        <v>149</v>
      </c>
      <c r="CN6" s="96" t="s">
        <v>150</v>
      </c>
      <c r="CU6" s="97"/>
      <c r="CV6" s="87" t="s">
        <v>150</v>
      </c>
      <c r="CW6" s="97" t="s">
        <v>150</v>
      </c>
      <c r="CX6" s="97"/>
      <c r="DC6" s="97"/>
      <c r="DD6" s="87" t="s">
        <v>150</v>
      </c>
      <c r="DE6" s="97" t="s">
        <v>150</v>
      </c>
      <c r="DF6" s="97"/>
      <c r="DJ6" s="96"/>
      <c r="DK6" s="86"/>
      <c r="DL6" s="84" t="s">
        <v>150</v>
      </c>
      <c r="DM6" s="97" t="s">
        <v>150</v>
      </c>
      <c r="DN6" s="97"/>
      <c r="DS6" s="97"/>
      <c r="DT6" s="90" t="s">
        <v>150</v>
      </c>
      <c r="DU6" s="84" t="s">
        <v>150</v>
      </c>
      <c r="DW6" s="84" t="s">
        <v>149</v>
      </c>
      <c r="DX6" s="84" t="s">
        <v>248</v>
      </c>
      <c r="DY6" s="87" t="s">
        <v>150</v>
      </c>
      <c r="DZ6" s="84" t="s">
        <v>150</v>
      </c>
      <c r="EB6" s="86"/>
      <c r="EC6" s="87" t="s">
        <v>149</v>
      </c>
      <c r="ED6" s="97" t="s">
        <v>149</v>
      </c>
      <c r="EE6" s="84" t="s">
        <v>249</v>
      </c>
      <c r="EF6" s="84" t="s">
        <v>250</v>
      </c>
      <c r="EG6" s="84" t="s">
        <v>150</v>
      </c>
      <c r="EI6" s="96" t="s">
        <v>150</v>
      </c>
      <c r="EJ6" s="97"/>
      <c r="EN6" s="96"/>
      <c r="EO6" s="96"/>
      <c r="EP6" s="95" t="s">
        <v>216</v>
      </c>
      <c r="EQ6" s="126" t="s">
        <v>150</v>
      </c>
      <c r="ER6" s="134" t="s">
        <v>166</v>
      </c>
      <c r="ES6" s="98" t="s">
        <v>166</v>
      </c>
      <c r="ET6" s="98" t="s">
        <v>166</v>
      </c>
      <c r="EU6" s="99" t="s">
        <v>166</v>
      </c>
      <c r="EV6" s="140" t="s">
        <v>166</v>
      </c>
      <c r="EW6" s="146" t="str">
        <f t="shared" si="0"/>
        <v>Low</v>
      </c>
      <c r="EX6" s="141"/>
      <c r="EY6" s="84" t="s">
        <v>149</v>
      </c>
      <c r="EZ6" s="84" t="s">
        <v>149</v>
      </c>
      <c r="FA6" s="84" t="s">
        <v>150</v>
      </c>
      <c r="FB6" s="86" t="str">
        <f t="shared" si="1"/>
        <v>Partial yes</v>
      </c>
      <c r="FC6" s="84" t="s">
        <v>149</v>
      </c>
      <c r="FD6" s="84" t="s">
        <v>149</v>
      </c>
      <c r="FE6" s="84" t="s">
        <v>149</v>
      </c>
      <c r="FF6" s="84" t="s">
        <v>150</v>
      </c>
      <c r="FG6" s="84" t="s">
        <v>149</v>
      </c>
      <c r="FH6" s="84" t="s">
        <v>149</v>
      </c>
      <c r="FI6" s="84" t="s">
        <v>150</v>
      </c>
      <c r="FJ6" s="84" t="s">
        <v>149</v>
      </c>
      <c r="FK6" s="84" t="s">
        <v>149</v>
      </c>
      <c r="FL6" s="84" t="s">
        <v>149</v>
      </c>
      <c r="FM6" s="84" t="s">
        <v>150</v>
      </c>
      <c r="FN6" s="84" t="s">
        <v>150</v>
      </c>
      <c r="FO6" s="84" t="str">
        <f t="shared" si="2"/>
        <v>Partial yes</v>
      </c>
      <c r="FP6" s="84" t="s">
        <v>149</v>
      </c>
      <c r="FQ6" s="84" t="s">
        <v>149</v>
      </c>
      <c r="FR6" s="84" t="s">
        <v>832</v>
      </c>
      <c r="FS6" s="84" t="str">
        <f t="shared" si="3"/>
        <v>Yes</v>
      </c>
      <c r="FT6" s="84" t="s">
        <v>149</v>
      </c>
      <c r="FU6" s="84" t="s">
        <v>832</v>
      </c>
      <c r="FV6" s="84" t="str">
        <f t="shared" si="4"/>
        <v>Yes</v>
      </c>
      <c r="FW6" s="84" t="str">
        <f t="shared" si="5"/>
        <v>Yes</v>
      </c>
      <c r="FX6" s="84" t="str">
        <f t="shared" si="29"/>
        <v>Yes</v>
      </c>
      <c r="FY6" s="84" t="str">
        <f t="shared" si="6"/>
        <v>No</v>
      </c>
      <c r="FZ6" s="84" t="str">
        <f t="shared" si="7"/>
        <v>Partial yes</v>
      </c>
      <c r="GA6" s="84" t="s">
        <v>149</v>
      </c>
      <c r="GB6" s="84" t="str">
        <f>GA6</f>
        <v>Yes</v>
      </c>
      <c r="GC6" s="84" t="s">
        <v>149</v>
      </c>
      <c r="GD6" s="84" t="str">
        <f t="shared" ref="GD6:GD11" si="30">GC6</f>
        <v>Yes</v>
      </c>
      <c r="GE6" s="84" t="s">
        <v>149</v>
      </c>
      <c r="GF6" s="84" t="str">
        <f t="shared" si="8"/>
        <v>Yes</v>
      </c>
      <c r="GG6" s="84" t="s">
        <v>149</v>
      </c>
      <c r="GH6" s="84" t="str">
        <f t="shared" si="9"/>
        <v>Yes</v>
      </c>
      <c r="GI6" s="84" t="s">
        <v>149</v>
      </c>
      <c r="GJ6" s="84" t="s">
        <v>832</v>
      </c>
      <c r="GK6" s="84" t="str">
        <f t="shared" si="10"/>
        <v>Yes</v>
      </c>
      <c r="GL6" s="84" t="s">
        <v>149</v>
      </c>
      <c r="GM6" s="84" t="s">
        <v>149</v>
      </c>
      <c r="GN6" s="84" t="str">
        <f t="shared" si="11"/>
        <v>Yes</v>
      </c>
      <c r="GO6" s="84" t="s">
        <v>149</v>
      </c>
      <c r="GP6" s="84" t="s">
        <v>832</v>
      </c>
      <c r="GQ6" s="84" t="str">
        <f t="shared" si="12"/>
        <v>Yes</v>
      </c>
      <c r="GR6" s="84" t="s">
        <v>149</v>
      </c>
      <c r="GS6" s="84" t="str">
        <f t="shared" si="13"/>
        <v>Yes</v>
      </c>
      <c r="GT6" s="84" t="s">
        <v>149</v>
      </c>
      <c r="GU6" s="84" t="s">
        <v>149</v>
      </c>
      <c r="GV6" s="84" t="s">
        <v>149</v>
      </c>
      <c r="GW6" s="84" t="s">
        <v>149</v>
      </c>
      <c r="GX6" s="84" t="s">
        <v>150</v>
      </c>
      <c r="GY6" s="84" t="s">
        <v>149</v>
      </c>
      <c r="GZ6" s="84" t="s">
        <v>149</v>
      </c>
      <c r="HA6" s="84" t="str">
        <f t="shared" si="14"/>
        <v>Partial yes</v>
      </c>
      <c r="HB6" s="84" t="s">
        <v>149</v>
      </c>
      <c r="HC6" s="84" t="str">
        <f t="shared" si="15"/>
        <v>Yes</v>
      </c>
      <c r="HD6" s="84" t="s">
        <v>149</v>
      </c>
      <c r="HE6" s="84" t="str">
        <f>HD6</f>
        <v>Yes</v>
      </c>
      <c r="HF6" s="84" t="s">
        <v>832</v>
      </c>
      <c r="HG6" s="84" t="s">
        <v>832</v>
      </c>
      <c r="HH6" s="84" t="s">
        <v>832</v>
      </c>
      <c r="HI6" s="84" t="s">
        <v>832</v>
      </c>
      <c r="HJ6" s="84" t="s">
        <v>149</v>
      </c>
      <c r="HK6" s="84" t="s">
        <v>832</v>
      </c>
      <c r="HL6" s="84" t="s">
        <v>832</v>
      </c>
      <c r="HM6" s="84" t="s">
        <v>149</v>
      </c>
      <c r="HN6" s="84" t="str">
        <f t="shared" si="16"/>
        <v>Yes</v>
      </c>
      <c r="HO6" s="84" t="s">
        <v>149</v>
      </c>
      <c r="HP6" s="84" t="str">
        <f t="shared" si="17"/>
        <v>Yes</v>
      </c>
      <c r="HQ6" s="84" t="s">
        <v>149</v>
      </c>
      <c r="HR6" s="84" t="str">
        <f t="shared" si="18"/>
        <v>Yes</v>
      </c>
      <c r="HS6" s="84" t="s">
        <v>149</v>
      </c>
      <c r="HT6" s="84" t="str">
        <f t="shared" si="19"/>
        <v>Yes</v>
      </c>
      <c r="HU6" s="84" t="s">
        <v>149</v>
      </c>
      <c r="HV6" s="84" t="s">
        <v>149</v>
      </c>
      <c r="HW6" s="100" t="s">
        <v>832</v>
      </c>
      <c r="HX6" s="84" t="s">
        <v>149</v>
      </c>
      <c r="HY6" s="84" t="s">
        <v>149</v>
      </c>
      <c r="HZ6" s="84" t="str">
        <f t="shared" si="20"/>
        <v>Partial yes</v>
      </c>
      <c r="IA6" s="84" t="s">
        <v>149</v>
      </c>
      <c r="IB6" s="84" t="str">
        <f t="shared" si="21"/>
        <v>Yes</v>
      </c>
      <c r="IC6" s="84" t="s">
        <v>149</v>
      </c>
      <c r="ID6" s="84" t="str">
        <f t="shared" si="22"/>
        <v>Yes</v>
      </c>
      <c r="IE6" s="84" t="s">
        <v>832</v>
      </c>
      <c r="IF6" s="84" t="s">
        <v>832</v>
      </c>
      <c r="IG6" s="84" t="s">
        <v>832</v>
      </c>
      <c r="IH6" s="84" t="s">
        <v>832</v>
      </c>
      <c r="II6" s="84" t="s">
        <v>832</v>
      </c>
      <c r="IJ6" s="84" t="s">
        <v>149</v>
      </c>
      <c r="IK6" s="84" t="s">
        <v>149</v>
      </c>
      <c r="IL6" s="84" t="s">
        <v>149</v>
      </c>
      <c r="IM6" s="84" t="s">
        <v>150</v>
      </c>
      <c r="IN6" s="84" t="s">
        <v>149</v>
      </c>
      <c r="IP6" s="84" t="s">
        <v>150</v>
      </c>
      <c r="IR6" s="84" t="str">
        <f t="shared" si="23"/>
        <v>Partial yes</v>
      </c>
      <c r="IS6" s="84" t="s">
        <v>149</v>
      </c>
      <c r="IT6" s="84" t="s">
        <v>149</v>
      </c>
      <c r="IU6" s="84" t="s">
        <v>149</v>
      </c>
      <c r="IV6" s="84" t="str">
        <f t="shared" si="24"/>
        <v>Yes</v>
      </c>
      <c r="IW6" s="84" t="s">
        <v>149</v>
      </c>
      <c r="IX6" s="84" t="s">
        <v>149</v>
      </c>
      <c r="IY6" s="84" t="str">
        <f t="shared" si="25"/>
        <v>Yes</v>
      </c>
      <c r="IZ6" s="84" t="s">
        <v>149</v>
      </c>
      <c r="JA6" s="84" t="s">
        <v>149</v>
      </c>
      <c r="JB6" s="84" t="str">
        <f t="shared" si="26"/>
        <v>Yes</v>
      </c>
      <c r="JC6" s="84" t="s">
        <v>149</v>
      </c>
      <c r="JD6" s="84" t="s">
        <v>832</v>
      </c>
      <c r="JE6" s="84" t="str">
        <f t="shared" si="27"/>
        <v>Yes</v>
      </c>
      <c r="JF6" s="84" t="s">
        <v>149</v>
      </c>
      <c r="JG6" s="84" t="str">
        <f t="shared" si="28"/>
        <v>Yes</v>
      </c>
      <c r="JH6" s="51" t="s">
        <v>150</v>
      </c>
    </row>
    <row r="7" spans="1:268" s="84" customFormat="1" ht="16" x14ac:dyDescent="0.25">
      <c r="A7" s="83">
        <v>8</v>
      </c>
      <c r="B7" s="84" t="s">
        <v>252</v>
      </c>
      <c r="C7" s="84" t="s">
        <v>198</v>
      </c>
      <c r="D7" s="84" t="s">
        <v>199</v>
      </c>
      <c r="E7" s="85">
        <v>44174</v>
      </c>
      <c r="F7" s="84" t="s">
        <v>253</v>
      </c>
      <c r="G7" s="84" t="s">
        <v>149</v>
      </c>
      <c r="H7" s="84" t="s">
        <v>150</v>
      </c>
      <c r="I7" s="84" t="s">
        <v>201</v>
      </c>
      <c r="J7" s="84" t="s">
        <v>202</v>
      </c>
      <c r="K7" s="86" t="s">
        <v>203</v>
      </c>
      <c r="L7" s="84" t="s">
        <v>154</v>
      </c>
      <c r="M7" s="86" t="s">
        <v>254</v>
      </c>
      <c r="N7" s="87" t="s">
        <v>718</v>
      </c>
      <c r="O7" s="86" t="s">
        <v>255</v>
      </c>
      <c r="P7" s="84" t="s">
        <v>158</v>
      </c>
      <c r="Q7" s="84" t="s">
        <v>206</v>
      </c>
      <c r="R7" s="88"/>
      <c r="T7" s="88" t="s">
        <v>150</v>
      </c>
      <c r="U7" s="84" t="s">
        <v>149</v>
      </c>
      <c r="V7" s="84" t="s">
        <v>150</v>
      </c>
      <c r="W7" s="84" t="s">
        <v>150</v>
      </c>
      <c r="X7" s="84" t="s">
        <v>150</v>
      </c>
      <c r="Y7" s="84" t="s">
        <v>150</v>
      </c>
      <c r="Z7" s="84" t="s">
        <v>150</v>
      </c>
      <c r="AA7" s="89"/>
      <c r="AB7" s="84" t="s">
        <v>149</v>
      </c>
      <c r="AC7" s="84" t="s">
        <v>150</v>
      </c>
      <c r="AD7" s="84" t="s">
        <v>150</v>
      </c>
      <c r="AE7" s="84" t="s">
        <v>150</v>
      </c>
      <c r="AF7" s="89"/>
      <c r="AH7" s="90" t="s">
        <v>160</v>
      </c>
      <c r="AI7" s="146" t="s">
        <v>149</v>
      </c>
      <c r="AJ7" s="156" t="s">
        <v>149</v>
      </c>
      <c r="AK7" s="157" t="s">
        <v>256</v>
      </c>
      <c r="AL7" s="158">
        <v>44028</v>
      </c>
      <c r="AM7" s="84" t="s">
        <v>149</v>
      </c>
      <c r="AN7" s="85">
        <v>43952</v>
      </c>
      <c r="AO7" s="84" t="s">
        <v>149</v>
      </c>
      <c r="AP7" s="84" t="s">
        <v>257</v>
      </c>
      <c r="AQ7" s="86"/>
      <c r="AR7" s="91" t="s">
        <v>209</v>
      </c>
      <c r="AS7" s="84" t="s">
        <v>149</v>
      </c>
      <c r="AT7" s="84" t="s">
        <v>149</v>
      </c>
      <c r="AU7" s="84" t="s">
        <v>150</v>
      </c>
      <c r="AV7" s="84" t="s">
        <v>150</v>
      </c>
      <c r="AW7" s="84" t="s">
        <v>150</v>
      </c>
      <c r="AX7" s="84" t="s">
        <v>149</v>
      </c>
      <c r="AY7" s="92" t="s">
        <v>149</v>
      </c>
      <c r="AZ7" s="84" t="s">
        <v>149</v>
      </c>
      <c r="BA7" s="84" t="s">
        <v>149</v>
      </c>
      <c r="BB7" s="84" t="s">
        <v>149</v>
      </c>
      <c r="BC7" s="84" t="s">
        <v>149</v>
      </c>
      <c r="BD7" s="84" t="s">
        <v>150</v>
      </c>
      <c r="BE7" s="84" t="s">
        <v>150</v>
      </c>
      <c r="BF7" s="84" t="s">
        <v>150</v>
      </c>
      <c r="BG7" s="87" t="s">
        <v>149</v>
      </c>
      <c r="BH7" s="84" t="s">
        <v>149</v>
      </c>
      <c r="BI7" s="84" t="s">
        <v>149</v>
      </c>
      <c r="BJ7" s="86" t="s">
        <v>149</v>
      </c>
      <c r="BK7" s="84" t="s">
        <v>149</v>
      </c>
      <c r="BL7" s="84" t="s">
        <v>149</v>
      </c>
      <c r="BM7" s="87" t="s">
        <v>149</v>
      </c>
      <c r="BN7" s="84" t="s">
        <v>149</v>
      </c>
      <c r="BO7" s="84" t="s">
        <v>149</v>
      </c>
      <c r="BP7" s="84" t="s">
        <v>149</v>
      </c>
      <c r="BR7" s="84" t="s">
        <v>191</v>
      </c>
      <c r="BT7" s="87" t="s">
        <v>163</v>
      </c>
      <c r="BU7" s="84" t="s">
        <v>164</v>
      </c>
      <c r="BW7" s="92"/>
      <c r="BX7" s="86" t="s">
        <v>165</v>
      </c>
      <c r="BY7" s="84" t="s">
        <v>149</v>
      </c>
      <c r="BZ7" s="93"/>
      <c r="CA7" s="94">
        <v>574</v>
      </c>
      <c r="CB7" s="92">
        <v>3</v>
      </c>
      <c r="CC7" s="84">
        <v>3</v>
      </c>
      <c r="CD7" s="95">
        <v>0</v>
      </c>
      <c r="CE7" s="85">
        <v>44068</v>
      </c>
      <c r="CF7" s="84" t="s">
        <v>150</v>
      </c>
      <c r="CH7" s="86"/>
      <c r="CI7" s="84" t="s">
        <v>150</v>
      </c>
      <c r="CJ7" s="92"/>
      <c r="CK7" s="84" t="s">
        <v>150</v>
      </c>
      <c r="CL7" s="92"/>
      <c r="CM7" s="92" t="s">
        <v>150</v>
      </c>
      <c r="CN7" s="96" t="s">
        <v>149</v>
      </c>
      <c r="CO7" s="84" t="s">
        <v>149</v>
      </c>
      <c r="CP7" s="84" t="s">
        <v>149</v>
      </c>
      <c r="CQ7" s="84" t="s">
        <v>193</v>
      </c>
      <c r="CS7" s="84" t="s">
        <v>150</v>
      </c>
      <c r="CU7" s="97" t="s">
        <v>211</v>
      </c>
      <c r="CV7" s="87" t="s">
        <v>150</v>
      </c>
      <c r="CW7" s="97" t="s">
        <v>150</v>
      </c>
      <c r="CX7" s="97"/>
      <c r="DC7" s="97"/>
      <c r="DD7" s="87" t="s">
        <v>150</v>
      </c>
      <c r="DE7" s="97" t="s">
        <v>150</v>
      </c>
      <c r="DF7" s="97"/>
      <c r="DJ7" s="96"/>
      <c r="DK7" s="86"/>
      <c r="DL7" s="84" t="s">
        <v>150</v>
      </c>
      <c r="DM7" s="97" t="s">
        <v>150</v>
      </c>
      <c r="DN7" s="97"/>
      <c r="DS7" s="97"/>
      <c r="DT7" s="90" t="s">
        <v>150</v>
      </c>
      <c r="DU7" s="84" t="s">
        <v>150</v>
      </c>
      <c r="DW7" s="84" t="s">
        <v>149</v>
      </c>
      <c r="DX7" s="84" t="s">
        <v>258</v>
      </c>
      <c r="DY7" s="87" t="s">
        <v>150</v>
      </c>
      <c r="DZ7" s="84" t="s">
        <v>175</v>
      </c>
      <c r="EA7" s="84" t="s">
        <v>175</v>
      </c>
      <c r="EB7" s="86" t="s">
        <v>259</v>
      </c>
      <c r="EC7" s="87" t="s">
        <v>150</v>
      </c>
      <c r="ED7" s="97" t="s">
        <v>150</v>
      </c>
      <c r="EI7" s="96" t="s">
        <v>149</v>
      </c>
      <c r="EJ7" s="97" t="s">
        <v>150</v>
      </c>
      <c r="EK7" s="84" t="s">
        <v>150</v>
      </c>
      <c r="EL7" s="84" t="s">
        <v>149</v>
      </c>
      <c r="EM7" s="84" t="s">
        <v>150</v>
      </c>
      <c r="EN7" s="96"/>
      <c r="EO7" s="96" t="s">
        <v>725</v>
      </c>
      <c r="EP7" s="95"/>
      <c r="EQ7" s="126" t="s">
        <v>150</v>
      </c>
      <c r="ER7" s="134" t="s">
        <v>166</v>
      </c>
      <c r="ES7" s="98" t="s">
        <v>166</v>
      </c>
      <c r="ET7" s="98" t="s">
        <v>166</v>
      </c>
      <c r="EU7" s="99" t="s">
        <v>171</v>
      </c>
      <c r="EV7" s="140" t="s">
        <v>171</v>
      </c>
      <c r="EW7" s="146" t="str">
        <f t="shared" si="0"/>
        <v>High</v>
      </c>
      <c r="EX7" s="141"/>
      <c r="EY7" s="84" t="s">
        <v>149</v>
      </c>
      <c r="EZ7" s="84" t="s">
        <v>149</v>
      </c>
      <c r="FA7" s="84" t="s">
        <v>150</v>
      </c>
      <c r="FB7" s="86" t="str">
        <f t="shared" si="1"/>
        <v>Partial yes</v>
      </c>
      <c r="FC7" s="84" t="s">
        <v>149</v>
      </c>
      <c r="FD7" s="84" t="s">
        <v>149</v>
      </c>
      <c r="FE7" s="84" t="s">
        <v>149</v>
      </c>
      <c r="FF7" s="84" t="s">
        <v>149</v>
      </c>
      <c r="FG7" s="84" t="s">
        <v>150</v>
      </c>
      <c r="FH7" s="84" t="s">
        <v>149</v>
      </c>
      <c r="FI7" s="84" t="s">
        <v>150</v>
      </c>
      <c r="FJ7" s="84" t="s">
        <v>149</v>
      </c>
      <c r="FK7" s="84" t="s">
        <v>149</v>
      </c>
      <c r="FL7" s="84" t="s">
        <v>149</v>
      </c>
      <c r="FM7" s="84" t="s">
        <v>149</v>
      </c>
      <c r="FN7" s="84" t="s">
        <v>149</v>
      </c>
      <c r="FO7" s="84" t="str">
        <f t="shared" si="2"/>
        <v>Partial yes</v>
      </c>
      <c r="FP7" s="84" t="s">
        <v>149</v>
      </c>
      <c r="FQ7" s="84" t="s">
        <v>149</v>
      </c>
      <c r="FR7" s="84" t="s">
        <v>832</v>
      </c>
      <c r="FS7" s="84" t="str">
        <f t="shared" si="3"/>
        <v>Yes</v>
      </c>
      <c r="FT7" s="84" t="s">
        <v>149</v>
      </c>
      <c r="FU7" s="84" t="s">
        <v>832</v>
      </c>
      <c r="FV7" s="84" t="str">
        <f t="shared" si="4"/>
        <v>Yes</v>
      </c>
      <c r="FW7" s="84" t="str">
        <f t="shared" si="5"/>
        <v>No</v>
      </c>
      <c r="FX7" s="84" t="str">
        <f t="shared" si="29"/>
        <v>Yes</v>
      </c>
      <c r="FY7" s="84" t="str">
        <f t="shared" si="6"/>
        <v>Yes</v>
      </c>
      <c r="FZ7" s="84" t="str">
        <f t="shared" si="7"/>
        <v>Partial yes</v>
      </c>
      <c r="GA7" s="84" t="s">
        <v>149</v>
      </c>
      <c r="GB7" s="84" t="str">
        <f>GA7</f>
        <v>Yes</v>
      </c>
      <c r="GC7" s="84" t="s">
        <v>149</v>
      </c>
      <c r="GD7" s="84" t="str">
        <f t="shared" si="30"/>
        <v>Yes</v>
      </c>
      <c r="GE7" s="84" t="s">
        <v>149</v>
      </c>
      <c r="GF7" s="84" t="str">
        <f t="shared" si="8"/>
        <v>Yes</v>
      </c>
      <c r="GG7" s="84" t="s">
        <v>149</v>
      </c>
      <c r="GH7" s="84" t="str">
        <f t="shared" si="9"/>
        <v>Yes</v>
      </c>
      <c r="GI7" s="84" t="s">
        <v>149</v>
      </c>
      <c r="GJ7" s="84" t="s">
        <v>832</v>
      </c>
      <c r="GK7" s="84" t="str">
        <f t="shared" si="10"/>
        <v>Yes</v>
      </c>
      <c r="GL7" s="84" t="s">
        <v>149</v>
      </c>
      <c r="GM7" s="84" t="s">
        <v>149</v>
      </c>
      <c r="GN7" s="84" t="str">
        <f t="shared" si="11"/>
        <v>Yes</v>
      </c>
      <c r="GO7" s="84" t="s">
        <v>149</v>
      </c>
      <c r="GP7" s="84" t="s">
        <v>832</v>
      </c>
      <c r="GQ7" s="84" t="str">
        <f t="shared" si="12"/>
        <v>Yes</v>
      </c>
      <c r="GR7" s="84" t="s">
        <v>149</v>
      </c>
      <c r="GS7" s="84" t="str">
        <f t="shared" si="13"/>
        <v>Yes</v>
      </c>
      <c r="GT7" s="84" t="s">
        <v>149</v>
      </c>
      <c r="GU7" s="84" t="s">
        <v>149</v>
      </c>
      <c r="GV7" s="84" t="s">
        <v>149</v>
      </c>
      <c r="GW7" s="84" t="s">
        <v>149</v>
      </c>
      <c r="GX7" s="84" t="s">
        <v>150</v>
      </c>
      <c r="GY7" s="84" t="s">
        <v>149</v>
      </c>
      <c r="GZ7" s="84" t="s">
        <v>149</v>
      </c>
      <c r="HA7" s="84" t="str">
        <f t="shared" si="14"/>
        <v>Partial yes</v>
      </c>
      <c r="HB7" s="84" t="s">
        <v>150</v>
      </c>
      <c r="HC7" s="84" t="str">
        <f t="shared" si="15"/>
        <v>No</v>
      </c>
      <c r="HD7" s="84" t="s">
        <v>149</v>
      </c>
      <c r="HE7" s="84" t="str">
        <f>HD7</f>
        <v>Yes</v>
      </c>
      <c r="HF7" s="84" t="s">
        <v>832</v>
      </c>
      <c r="HG7" s="84" t="s">
        <v>832</v>
      </c>
      <c r="HH7" s="84" t="s">
        <v>832</v>
      </c>
      <c r="HI7" s="84" t="s">
        <v>832</v>
      </c>
      <c r="HJ7" s="84" t="s">
        <v>149</v>
      </c>
      <c r="HK7" s="84" t="s">
        <v>832</v>
      </c>
      <c r="HL7" s="84" t="s">
        <v>832</v>
      </c>
      <c r="HM7" s="84" t="s">
        <v>149</v>
      </c>
      <c r="HN7" s="84" t="str">
        <f t="shared" si="16"/>
        <v>Yes</v>
      </c>
      <c r="HO7" s="84" t="s">
        <v>149</v>
      </c>
      <c r="HP7" s="84" t="str">
        <f t="shared" si="17"/>
        <v>Yes</v>
      </c>
      <c r="HQ7" s="84" t="s">
        <v>149</v>
      </c>
      <c r="HR7" s="84" t="str">
        <f t="shared" si="18"/>
        <v>Yes</v>
      </c>
      <c r="HS7" s="84" t="s">
        <v>149</v>
      </c>
      <c r="HT7" s="84" t="str">
        <f t="shared" si="19"/>
        <v>Yes</v>
      </c>
      <c r="HU7" s="84" t="s">
        <v>149</v>
      </c>
      <c r="HV7" s="84" t="s">
        <v>149</v>
      </c>
      <c r="HW7" s="100" t="s">
        <v>832</v>
      </c>
      <c r="HX7" s="84" t="s">
        <v>150</v>
      </c>
      <c r="HY7" s="84" t="s">
        <v>150</v>
      </c>
      <c r="HZ7" s="84" t="str">
        <f t="shared" si="20"/>
        <v>Partial yes</v>
      </c>
      <c r="IA7" s="84" t="s">
        <v>150</v>
      </c>
      <c r="IB7" s="84" t="str">
        <f t="shared" si="21"/>
        <v>No</v>
      </c>
      <c r="IC7" s="84" t="s">
        <v>149</v>
      </c>
      <c r="ID7" s="84" t="str">
        <f t="shared" si="22"/>
        <v>Yes</v>
      </c>
      <c r="IE7" s="84" t="s">
        <v>832</v>
      </c>
      <c r="IF7" s="84" t="s">
        <v>832</v>
      </c>
      <c r="IG7" s="84" t="s">
        <v>832</v>
      </c>
      <c r="IH7" s="84" t="s">
        <v>832</v>
      </c>
      <c r="II7" s="84" t="s">
        <v>832</v>
      </c>
      <c r="IJ7" s="84" t="s">
        <v>149</v>
      </c>
      <c r="IK7" s="84" t="s">
        <v>149</v>
      </c>
      <c r="IL7" s="84" t="s">
        <v>149</v>
      </c>
      <c r="IM7" s="84" t="s">
        <v>150</v>
      </c>
      <c r="IN7" s="84" t="s">
        <v>149</v>
      </c>
      <c r="IP7" s="84" t="s">
        <v>150</v>
      </c>
      <c r="IR7" s="84" t="str">
        <f t="shared" si="23"/>
        <v>Partial yes</v>
      </c>
      <c r="IS7" s="84" t="s">
        <v>149</v>
      </c>
      <c r="IT7" s="84" t="s">
        <v>149</v>
      </c>
      <c r="IU7" s="84" t="s">
        <v>149</v>
      </c>
      <c r="IV7" s="84" t="str">
        <f t="shared" si="24"/>
        <v>Yes</v>
      </c>
      <c r="IW7" s="84" t="s">
        <v>149</v>
      </c>
      <c r="IX7" s="84" t="s">
        <v>149</v>
      </c>
      <c r="IY7" s="84" t="str">
        <f t="shared" si="25"/>
        <v>Yes</v>
      </c>
      <c r="IZ7" s="84" t="s">
        <v>149</v>
      </c>
      <c r="JA7" s="84" t="s">
        <v>149</v>
      </c>
      <c r="JB7" s="84" t="str">
        <f t="shared" si="26"/>
        <v>Yes</v>
      </c>
      <c r="JC7" s="84" t="s">
        <v>149</v>
      </c>
      <c r="JD7" s="84" t="s">
        <v>832</v>
      </c>
      <c r="JE7" s="84" t="str">
        <f t="shared" si="27"/>
        <v>Yes</v>
      </c>
      <c r="JF7" s="84" t="s">
        <v>149</v>
      </c>
      <c r="JG7" s="84" t="str">
        <f t="shared" si="28"/>
        <v>Yes</v>
      </c>
      <c r="JH7" s="84" t="s">
        <v>149</v>
      </c>
    </row>
    <row r="8" spans="1:268" s="84" customFormat="1" ht="16" x14ac:dyDescent="0.25">
      <c r="A8" s="83">
        <v>9</v>
      </c>
      <c r="B8" s="84" t="s">
        <v>261</v>
      </c>
      <c r="C8" s="84" t="s">
        <v>262</v>
      </c>
      <c r="D8" s="84" t="s">
        <v>178</v>
      </c>
      <c r="E8" s="85">
        <v>44179</v>
      </c>
      <c r="F8" s="84" t="s">
        <v>263</v>
      </c>
      <c r="G8" s="84" t="s">
        <v>149</v>
      </c>
      <c r="H8" s="84" t="s">
        <v>149</v>
      </c>
      <c r="I8" s="84" t="s">
        <v>264</v>
      </c>
      <c r="J8" s="84" t="s">
        <v>265</v>
      </c>
      <c r="K8" s="86" t="s">
        <v>266</v>
      </c>
      <c r="L8" s="84" t="s">
        <v>154</v>
      </c>
      <c r="M8" s="86" t="s">
        <v>267</v>
      </c>
      <c r="N8" s="84" t="s">
        <v>268</v>
      </c>
      <c r="O8" s="86" t="s">
        <v>269</v>
      </c>
      <c r="P8" s="84" t="s">
        <v>185</v>
      </c>
      <c r="Q8" s="84" t="s">
        <v>270</v>
      </c>
      <c r="R8" s="88">
        <v>2</v>
      </c>
      <c r="S8" s="84" t="s">
        <v>271</v>
      </c>
      <c r="T8" s="88" t="s">
        <v>150</v>
      </c>
      <c r="U8" s="84" t="s">
        <v>149</v>
      </c>
      <c r="V8" s="84" t="s">
        <v>150</v>
      </c>
      <c r="W8" s="84" t="s">
        <v>150</v>
      </c>
      <c r="X8" s="84" t="s">
        <v>150</v>
      </c>
      <c r="Y8" s="84" t="s">
        <v>150</v>
      </c>
      <c r="Z8" s="84" t="s">
        <v>150</v>
      </c>
      <c r="AA8" s="89"/>
      <c r="AB8" s="84" t="s">
        <v>150</v>
      </c>
      <c r="AC8" s="84" t="s">
        <v>150</v>
      </c>
      <c r="AD8" s="84" t="s">
        <v>149</v>
      </c>
      <c r="AE8" s="84" t="s">
        <v>150</v>
      </c>
      <c r="AF8" s="89"/>
      <c r="AH8" s="90" t="s">
        <v>188</v>
      </c>
      <c r="AI8" s="146" t="s">
        <v>149</v>
      </c>
      <c r="AJ8" s="156" t="s">
        <v>149</v>
      </c>
      <c r="AK8" s="157" t="s">
        <v>272</v>
      </c>
      <c r="AL8" s="158">
        <v>43502</v>
      </c>
      <c r="AM8" s="164" t="s">
        <v>150</v>
      </c>
      <c r="AQ8" s="86"/>
      <c r="AR8" s="91"/>
      <c r="AS8" s="84" t="s">
        <v>149</v>
      </c>
      <c r="AT8" s="84" t="s">
        <v>149</v>
      </c>
      <c r="AU8" s="84" t="s">
        <v>149</v>
      </c>
      <c r="AV8" s="84" t="s">
        <v>150</v>
      </c>
      <c r="AW8" s="84" t="s">
        <v>150</v>
      </c>
      <c r="AX8" s="84" t="s">
        <v>149</v>
      </c>
      <c r="AY8" s="92" t="s">
        <v>149</v>
      </c>
      <c r="AZ8" s="84" t="s">
        <v>149</v>
      </c>
      <c r="BA8" s="84" t="s">
        <v>149</v>
      </c>
      <c r="BB8" s="84" t="s">
        <v>149</v>
      </c>
      <c r="BC8" s="84" t="s">
        <v>149</v>
      </c>
      <c r="BD8" s="84" t="s">
        <v>149</v>
      </c>
      <c r="BE8" s="84" t="s">
        <v>149</v>
      </c>
      <c r="BF8" s="84" t="s">
        <v>150</v>
      </c>
      <c r="BG8" s="87" t="s">
        <v>149</v>
      </c>
      <c r="BH8" s="84" t="s">
        <v>149</v>
      </c>
      <c r="BI8" s="84" t="s">
        <v>150</v>
      </c>
      <c r="BJ8" s="86" t="s">
        <v>149</v>
      </c>
      <c r="BK8" s="84" t="s">
        <v>149</v>
      </c>
      <c r="BL8" s="84" t="s">
        <v>149</v>
      </c>
      <c r="BM8" s="87" t="s">
        <v>149</v>
      </c>
      <c r="BN8" s="84" t="s">
        <v>149</v>
      </c>
      <c r="BO8" s="84" t="s">
        <v>149</v>
      </c>
      <c r="BP8" s="84" t="s">
        <v>150</v>
      </c>
      <c r="BR8" s="84" t="s">
        <v>191</v>
      </c>
      <c r="BT8" s="87" t="s">
        <v>163</v>
      </c>
      <c r="BU8" s="84" t="s">
        <v>165</v>
      </c>
      <c r="BW8" s="92"/>
      <c r="BX8" s="86" t="s">
        <v>165</v>
      </c>
      <c r="BY8" s="84" t="s">
        <v>149</v>
      </c>
      <c r="BZ8" s="93" t="s">
        <v>210</v>
      </c>
      <c r="CA8" s="94">
        <v>6809</v>
      </c>
      <c r="CB8" s="101">
        <v>7</v>
      </c>
      <c r="CC8" s="84">
        <v>7</v>
      </c>
      <c r="CD8" s="95">
        <v>0</v>
      </c>
      <c r="CE8" s="85">
        <v>44125</v>
      </c>
      <c r="CF8" s="84" t="s">
        <v>150</v>
      </c>
      <c r="CH8" s="86"/>
      <c r="CI8" s="84" t="s">
        <v>150</v>
      </c>
      <c r="CJ8" s="92"/>
      <c r="CK8" s="84" t="s">
        <v>149</v>
      </c>
      <c r="CL8" s="92" t="s">
        <v>192</v>
      </c>
      <c r="CM8" s="92" t="s">
        <v>150</v>
      </c>
      <c r="CN8" s="96" t="s">
        <v>149</v>
      </c>
      <c r="CO8" s="84" t="s">
        <v>149</v>
      </c>
      <c r="CP8" s="84" t="s">
        <v>150</v>
      </c>
      <c r="CS8" s="84" t="s">
        <v>150</v>
      </c>
      <c r="CU8" s="97"/>
      <c r="CV8" s="87" t="s">
        <v>150</v>
      </c>
      <c r="CW8" s="97" t="s">
        <v>150</v>
      </c>
      <c r="CX8" s="97"/>
      <c r="DC8" s="97"/>
      <c r="DD8" s="87" t="s">
        <v>150</v>
      </c>
      <c r="DE8" s="97" t="s">
        <v>150</v>
      </c>
      <c r="DF8" s="97"/>
      <c r="DJ8" s="96"/>
      <c r="DK8" s="86"/>
      <c r="DL8" s="84" t="s">
        <v>150</v>
      </c>
      <c r="DM8" s="97" t="s">
        <v>150</v>
      </c>
      <c r="DN8" s="97"/>
      <c r="DS8" s="97"/>
      <c r="DT8" s="90" t="s">
        <v>150</v>
      </c>
      <c r="DU8" s="84" t="s">
        <v>150</v>
      </c>
      <c r="DW8" s="84" t="s">
        <v>149</v>
      </c>
      <c r="DY8" s="87" t="s">
        <v>150</v>
      </c>
      <c r="DZ8" s="84" t="s">
        <v>150</v>
      </c>
      <c r="EB8" s="86"/>
      <c r="EC8" s="87" t="s">
        <v>149</v>
      </c>
      <c r="ED8" s="97" t="s">
        <v>150</v>
      </c>
      <c r="EF8" s="84" t="s">
        <v>196</v>
      </c>
      <c r="EG8" s="84" t="s">
        <v>150</v>
      </c>
      <c r="EI8" s="96" t="s">
        <v>149</v>
      </c>
      <c r="EJ8" s="97" t="s">
        <v>150</v>
      </c>
      <c r="EK8" s="84" t="s">
        <v>150</v>
      </c>
      <c r="EL8" s="84" t="s">
        <v>149</v>
      </c>
      <c r="EM8" s="84" t="s">
        <v>150</v>
      </c>
      <c r="EN8" s="96"/>
      <c r="EO8" s="96" t="s">
        <v>273</v>
      </c>
      <c r="EP8" s="95" t="s">
        <v>274</v>
      </c>
      <c r="EQ8" s="126" t="s">
        <v>149</v>
      </c>
      <c r="ER8" s="134" t="s">
        <v>166</v>
      </c>
      <c r="ES8" s="98" t="s">
        <v>166</v>
      </c>
      <c r="ET8" s="98" t="s">
        <v>166</v>
      </c>
      <c r="EU8" s="99" t="s">
        <v>166</v>
      </c>
      <c r="EV8" s="140" t="s">
        <v>166</v>
      </c>
      <c r="EW8" s="146" t="str">
        <f t="shared" si="0"/>
        <v>Low</v>
      </c>
      <c r="EX8" s="141"/>
      <c r="EY8" s="84" t="s">
        <v>150</v>
      </c>
      <c r="EZ8" s="84" t="s">
        <v>150</v>
      </c>
      <c r="FA8" s="84" t="s">
        <v>150</v>
      </c>
      <c r="FB8" s="86" t="str">
        <f t="shared" si="1"/>
        <v>No</v>
      </c>
      <c r="FC8" s="84" t="s">
        <v>149</v>
      </c>
      <c r="FD8" s="84" t="s">
        <v>149</v>
      </c>
      <c r="FE8" s="84" t="s">
        <v>149</v>
      </c>
      <c r="FF8" s="84" t="s">
        <v>149</v>
      </c>
      <c r="FG8" s="84" t="s">
        <v>149</v>
      </c>
      <c r="FH8" s="84" t="s">
        <v>149</v>
      </c>
      <c r="FI8" s="84" t="s">
        <v>149</v>
      </c>
      <c r="FJ8" s="84" t="s">
        <v>149</v>
      </c>
      <c r="FK8" s="84" t="s">
        <v>149</v>
      </c>
      <c r="FL8" s="84" t="s">
        <v>149</v>
      </c>
      <c r="FM8" s="84" t="s">
        <v>149</v>
      </c>
      <c r="FN8" s="84" t="s">
        <v>150</v>
      </c>
      <c r="FO8" s="84" t="str">
        <f t="shared" si="2"/>
        <v>Partial yes</v>
      </c>
      <c r="FP8" s="84" t="s">
        <v>149</v>
      </c>
      <c r="FQ8" s="84" t="s">
        <v>149</v>
      </c>
      <c r="FR8" s="84" t="s">
        <v>832</v>
      </c>
      <c r="FS8" s="84" t="str">
        <f t="shared" si="3"/>
        <v>Yes</v>
      </c>
      <c r="FT8" s="84" t="s">
        <v>149</v>
      </c>
      <c r="FU8" s="84" t="s">
        <v>832</v>
      </c>
      <c r="FV8" s="84" t="str">
        <f t="shared" si="4"/>
        <v>Yes</v>
      </c>
      <c r="FW8" s="84" t="str">
        <f t="shared" si="5"/>
        <v>Yes</v>
      </c>
      <c r="FX8" s="84" t="str">
        <f t="shared" si="29"/>
        <v>Yes</v>
      </c>
      <c r="FY8" s="84" t="str">
        <f t="shared" si="6"/>
        <v>Yes</v>
      </c>
      <c r="FZ8" s="84" t="str">
        <f t="shared" si="7"/>
        <v>Yes</v>
      </c>
      <c r="GA8" s="84" t="s">
        <v>149</v>
      </c>
      <c r="GB8" s="84" t="str">
        <f>GA8</f>
        <v>Yes</v>
      </c>
      <c r="GC8" s="84" t="s">
        <v>149</v>
      </c>
      <c r="GD8" s="84" t="str">
        <f t="shared" si="30"/>
        <v>Yes</v>
      </c>
      <c r="GE8" s="84" t="s">
        <v>149</v>
      </c>
      <c r="GF8" s="84" t="s">
        <v>149</v>
      </c>
      <c r="GG8" s="84" t="s">
        <v>149</v>
      </c>
      <c r="GH8" s="84" t="str">
        <f t="shared" si="9"/>
        <v>Yes</v>
      </c>
      <c r="GI8" s="84" t="s">
        <v>149</v>
      </c>
      <c r="GJ8" s="84" t="s">
        <v>832</v>
      </c>
      <c r="GK8" s="84" t="str">
        <f t="shared" si="10"/>
        <v>Yes</v>
      </c>
      <c r="GL8" s="84" t="s">
        <v>149</v>
      </c>
      <c r="GM8" s="84" t="s">
        <v>149</v>
      </c>
      <c r="GN8" s="84" t="str">
        <f t="shared" si="11"/>
        <v>Yes</v>
      </c>
      <c r="GO8" s="84" t="s">
        <v>149</v>
      </c>
      <c r="GP8" s="84" t="s">
        <v>832</v>
      </c>
      <c r="GQ8" s="84" t="str">
        <f t="shared" si="12"/>
        <v>Yes</v>
      </c>
      <c r="GR8" s="84" t="s">
        <v>149</v>
      </c>
      <c r="GS8" s="84" t="str">
        <f t="shared" si="13"/>
        <v>Yes</v>
      </c>
      <c r="GT8" s="84" t="s">
        <v>149</v>
      </c>
      <c r="GU8" s="84" t="s">
        <v>149</v>
      </c>
      <c r="GV8" s="84" t="s">
        <v>149</v>
      </c>
      <c r="GW8" s="84" t="s">
        <v>149</v>
      </c>
      <c r="GX8" s="84" t="s">
        <v>149</v>
      </c>
      <c r="GY8" s="84" t="s">
        <v>149</v>
      </c>
      <c r="GZ8" s="84" t="s">
        <v>149</v>
      </c>
      <c r="HA8" s="84" t="str">
        <f t="shared" si="14"/>
        <v>Yes</v>
      </c>
      <c r="HB8" s="84" t="s">
        <v>149</v>
      </c>
      <c r="HC8" s="84" t="str">
        <f t="shared" si="15"/>
        <v>Yes</v>
      </c>
      <c r="HD8" s="84" t="s">
        <v>149</v>
      </c>
      <c r="HE8" s="84" t="s">
        <v>149</v>
      </c>
      <c r="HF8" s="84" t="s">
        <v>832</v>
      </c>
      <c r="HG8" s="84" t="s">
        <v>832</v>
      </c>
      <c r="HH8" s="84" t="s">
        <v>832</v>
      </c>
      <c r="HI8" s="84" t="s">
        <v>832</v>
      </c>
      <c r="HJ8" s="84" t="s">
        <v>149</v>
      </c>
      <c r="HK8" s="84" t="s">
        <v>832</v>
      </c>
      <c r="HL8" s="84" t="s">
        <v>832</v>
      </c>
      <c r="HM8" s="84" t="s">
        <v>149</v>
      </c>
      <c r="HN8" s="84" t="str">
        <f t="shared" si="16"/>
        <v>Yes</v>
      </c>
      <c r="HO8" s="84" t="s">
        <v>149</v>
      </c>
      <c r="HP8" s="84" t="str">
        <f t="shared" si="17"/>
        <v>Yes</v>
      </c>
      <c r="HQ8" s="84" t="s">
        <v>149</v>
      </c>
      <c r="HR8" s="84" t="str">
        <f t="shared" si="18"/>
        <v>Yes</v>
      </c>
      <c r="HS8" s="84" t="s">
        <v>149</v>
      </c>
      <c r="HT8" s="84" t="str">
        <f t="shared" si="19"/>
        <v>Yes</v>
      </c>
      <c r="HU8" s="84" t="s">
        <v>149</v>
      </c>
      <c r="HV8" s="84" t="s">
        <v>149</v>
      </c>
      <c r="HW8" s="100" t="s">
        <v>832</v>
      </c>
      <c r="HX8" s="84" t="s">
        <v>149</v>
      </c>
      <c r="HY8" s="84" t="s">
        <v>149</v>
      </c>
      <c r="HZ8" s="84" t="str">
        <f t="shared" si="20"/>
        <v>Partial yes</v>
      </c>
      <c r="IA8" s="84" t="s">
        <v>149</v>
      </c>
      <c r="IB8" s="84" t="str">
        <f t="shared" si="21"/>
        <v>Yes</v>
      </c>
      <c r="IC8" s="84" t="s">
        <v>149</v>
      </c>
      <c r="ID8" s="84" t="str">
        <f t="shared" si="22"/>
        <v>Yes</v>
      </c>
      <c r="IE8" s="84" t="s">
        <v>832</v>
      </c>
      <c r="IF8" s="84" t="s">
        <v>832</v>
      </c>
      <c r="IG8" s="84" t="s">
        <v>832</v>
      </c>
      <c r="IH8" s="84" t="s">
        <v>832</v>
      </c>
      <c r="II8" s="84" t="s">
        <v>832</v>
      </c>
      <c r="IJ8" s="84" t="s">
        <v>149</v>
      </c>
      <c r="IK8" s="84" t="s">
        <v>149</v>
      </c>
      <c r="IL8" s="84" t="s">
        <v>149</v>
      </c>
      <c r="IM8" s="84" t="s">
        <v>149</v>
      </c>
      <c r="IN8" s="84" t="s">
        <v>149</v>
      </c>
      <c r="IP8" s="84" t="s">
        <v>149</v>
      </c>
      <c r="IR8" s="84" t="str">
        <f t="shared" si="23"/>
        <v>Yes</v>
      </c>
      <c r="IS8" s="84" t="s">
        <v>150</v>
      </c>
      <c r="IT8" s="84" t="s">
        <v>150</v>
      </c>
      <c r="IU8" s="84" t="s">
        <v>149</v>
      </c>
      <c r="IV8" s="84" t="str">
        <f t="shared" si="24"/>
        <v>Partial yes</v>
      </c>
      <c r="IW8" s="84" t="s">
        <v>149</v>
      </c>
      <c r="IX8" s="84" t="s">
        <v>149</v>
      </c>
      <c r="IY8" s="84" t="str">
        <f t="shared" si="25"/>
        <v>Yes</v>
      </c>
      <c r="IZ8" s="84" t="s">
        <v>149</v>
      </c>
      <c r="JA8" s="84" t="s">
        <v>149</v>
      </c>
      <c r="JB8" s="84" t="str">
        <f t="shared" si="26"/>
        <v>Yes</v>
      </c>
      <c r="JC8" s="84" t="s">
        <v>150</v>
      </c>
      <c r="JD8" s="84" t="s">
        <v>832</v>
      </c>
      <c r="JE8" s="84" t="str">
        <f t="shared" si="27"/>
        <v>No</v>
      </c>
      <c r="JF8" s="84" t="s">
        <v>149</v>
      </c>
      <c r="JG8" s="84" t="str">
        <f t="shared" si="28"/>
        <v>Yes</v>
      </c>
      <c r="JH8" s="51" t="s">
        <v>150</v>
      </c>
    </row>
    <row r="9" spans="1:268" s="84" customFormat="1" ht="16" x14ac:dyDescent="0.25">
      <c r="A9" s="83">
        <v>10</v>
      </c>
      <c r="B9" s="84" t="s">
        <v>276</v>
      </c>
      <c r="C9" s="84" t="s">
        <v>277</v>
      </c>
      <c r="D9" s="84" t="s">
        <v>278</v>
      </c>
      <c r="E9" s="85">
        <v>44588</v>
      </c>
      <c r="F9" s="84" t="s">
        <v>279</v>
      </c>
      <c r="G9" s="84" t="s">
        <v>149</v>
      </c>
      <c r="H9" s="84" t="s">
        <v>150</v>
      </c>
      <c r="I9" s="84" t="s">
        <v>280</v>
      </c>
      <c r="J9" s="84" t="s">
        <v>202</v>
      </c>
      <c r="K9" s="86" t="s">
        <v>203</v>
      </c>
      <c r="L9" s="84" t="s">
        <v>154</v>
      </c>
      <c r="M9" s="86" t="s">
        <v>281</v>
      </c>
      <c r="N9" s="84" t="s">
        <v>717</v>
      </c>
      <c r="O9" s="86" t="s">
        <v>282</v>
      </c>
      <c r="P9" s="84" t="s">
        <v>185</v>
      </c>
      <c r="Q9" s="84" t="s">
        <v>206</v>
      </c>
      <c r="R9" s="88">
        <v>8</v>
      </c>
      <c r="S9" s="84" t="s">
        <v>283</v>
      </c>
      <c r="T9" s="88" t="s">
        <v>149</v>
      </c>
      <c r="U9" s="84" t="s">
        <v>149</v>
      </c>
      <c r="V9" s="84" t="s">
        <v>149</v>
      </c>
      <c r="W9" s="84" t="s">
        <v>150</v>
      </c>
      <c r="X9" s="84" t="s">
        <v>150</v>
      </c>
      <c r="Y9" s="84" t="s">
        <v>150</v>
      </c>
      <c r="Z9" s="84" t="s">
        <v>150</v>
      </c>
      <c r="AA9" s="89"/>
      <c r="AB9" s="84" t="s">
        <v>149</v>
      </c>
      <c r="AC9" s="84" t="s">
        <v>150</v>
      </c>
      <c r="AD9" s="84" t="s">
        <v>149</v>
      </c>
      <c r="AE9" s="84" t="s">
        <v>150</v>
      </c>
      <c r="AF9" s="89"/>
      <c r="AH9" s="90" t="s">
        <v>188</v>
      </c>
      <c r="AI9" s="146" t="s">
        <v>150</v>
      </c>
      <c r="AJ9" s="87" t="s">
        <v>150</v>
      </c>
      <c r="AL9" s="92"/>
      <c r="AM9" s="84" t="s">
        <v>149</v>
      </c>
      <c r="AN9" s="85">
        <v>44365</v>
      </c>
      <c r="AO9" s="84" t="s">
        <v>149</v>
      </c>
      <c r="AP9" s="84" t="s">
        <v>284</v>
      </c>
      <c r="AQ9" s="86"/>
      <c r="AR9" s="91"/>
      <c r="AS9" s="84" t="s">
        <v>149</v>
      </c>
      <c r="AT9" s="84" t="s">
        <v>149</v>
      </c>
      <c r="AU9" s="84" t="s">
        <v>149</v>
      </c>
      <c r="AV9" s="84" t="s">
        <v>150</v>
      </c>
      <c r="AW9" s="84" t="s">
        <v>150</v>
      </c>
      <c r="AX9" s="84" t="s">
        <v>149</v>
      </c>
      <c r="AY9" s="92" t="s">
        <v>149</v>
      </c>
      <c r="AZ9" s="84" t="s">
        <v>149</v>
      </c>
      <c r="BA9" s="84" t="s">
        <v>150</v>
      </c>
      <c r="BB9" s="84" t="s">
        <v>150</v>
      </c>
      <c r="BC9" s="84" t="s">
        <v>149</v>
      </c>
      <c r="BD9" s="84" t="s">
        <v>150</v>
      </c>
      <c r="BE9" s="84" t="s">
        <v>150</v>
      </c>
      <c r="BF9" s="84" t="s">
        <v>149</v>
      </c>
      <c r="BG9" s="87" t="s">
        <v>149</v>
      </c>
      <c r="BH9" s="84" t="s">
        <v>149</v>
      </c>
      <c r="BI9" s="84" t="s">
        <v>149</v>
      </c>
      <c r="BJ9" s="86" t="s">
        <v>149</v>
      </c>
      <c r="BK9" s="84" t="s">
        <v>150</v>
      </c>
      <c r="BL9" s="84" t="s">
        <v>149</v>
      </c>
      <c r="BM9" s="87" t="s">
        <v>149</v>
      </c>
      <c r="BN9" s="84" t="s">
        <v>149</v>
      </c>
      <c r="BO9" s="84" t="s">
        <v>149</v>
      </c>
      <c r="BP9" s="84" t="s">
        <v>149</v>
      </c>
      <c r="BR9" s="84" t="s">
        <v>150</v>
      </c>
      <c r="BS9" s="84" t="s">
        <v>285</v>
      </c>
      <c r="BT9" s="87" t="s">
        <v>163</v>
      </c>
      <c r="BU9" s="84" t="s">
        <v>164</v>
      </c>
      <c r="BW9" s="92"/>
      <c r="BX9" s="86" t="s">
        <v>165</v>
      </c>
      <c r="BY9" s="84" t="s">
        <v>150</v>
      </c>
      <c r="BZ9" s="93"/>
      <c r="CA9" s="94">
        <v>1888</v>
      </c>
      <c r="CB9" s="101">
        <v>15</v>
      </c>
      <c r="CC9" s="84">
        <v>6</v>
      </c>
      <c r="CD9" s="95">
        <v>9</v>
      </c>
      <c r="CE9" s="85">
        <v>44531</v>
      </c>
      <c r="CF9" s="84" t="s">
        <v>150</v>
      </c>
      <c r="CH9" s="86"/>
      <c r="CI9" s="84" t="s">
        <v>150</v>
      </c>
      <c r="CJ9" s="92"/>
      <c r="CK9" s="84" t="s">
        <v>149</v>
      </c>
      <c r="CL9" s="92" t="s">
        <v>192</v>
      </c>
      <c r="CM9" s="92" t="s">
        <v>150</v>
      </c>
      <c r="CN9" s="96" t="s">
        <v>150</v>
      </c>
      <c r="CU9" s="97"/>
      <c r="CV9" s="87" t="s">
        <v>150</v>
      </c>
      <c r="CW9" s="97" t="s">
        <v>150</v>
      </c>
      <c r="CX9" s="97"/>
      <c r="DC9" s="97"/>
      <c r="DD9" s="87" t="s">
        <v>150</v>
      </c>
      <c r="DE9" s="97" t="s">
        <v>150</v>
      </c>
      <c r="DF9" s="97"/>
      <c r="DJ9" s="96"/>
      <c r="DK9" s="86"/>
      <c r="DL9" s="84" t="s">
        <v>150</v>
      </c>
      <c r="DM9" s="97" t="s">
        <v>150</v>
      </c>
      <c r="DN9" s="97"/>
      <c r="DS9" s="97"/>
      <c r="DT9" s="90" t="s">
        <v>150</v>
      </c>
      <c r="DU9" s="84" t="s">
        <v>150</v>
      </c>
      <c r="DW9" s="84" t="s">
        <v>149</v>
      </c>
      <c r="DY9" s="87" t="s">
        <v>150</v>
      </c>
      <c r="DZ9" s="84" t="s">
        <v>150</v>
      </c>
      <c r="EB9" s="86"/>
      <c r="EC9" s="87" t="s">
        <v>149</v>
      </c>
      <c r="ED9" s="97" t="s">
        <v>150</v>
      </c>
      <c r="EF9" s="84" t="s">
        <v>196</v>
      </c>
      <c r="EG9" s="84" t="s">
        <v>150</v>
      </c>
      <c r="EI9" s="96" t="s">
        <v>150</v>
      </c>
      <c r="EJ9" s="97"/>
      <c r="EN9" s="96"/>
      <c r="EO9" s="96"/>
      <c r="EP9" s="95"/>
      <c r="EQ9" s="126" t="s">
        <v>150</v>
      </c>
      <c r="ER9" s="134" t="s">
        <v>166</v>
      </c>
      <c r="ES9" s="98" t="s">
        <v>166</v>
      </c>
      <c r="ET9" s="98" t="s">
        <v>171</v>
      </c>
      <c r="EU9" s="99" t="s">
        <v>171</v>
      </c>
      <c r="EV9" s="140" t="s">
        <v>171</v>
      </c>
      <c r="EW9" s="146" t="str">
        <f t="shared" si="0"/>
        <v>High</v>
      </c>
      <c r="EX9" s="141"/>
      <c r="EY9" s="84" t="s">
        <v>149</v>
      </c>
      <c r="EZ9" s="84" t="s">
        <v>149</v>
      </c>
      <c r="FA9" s="84" t="s">
        <v>150</v>
      </c>
      <c r="FB9" s="86" t="str">
        <f t="shared" si="1"/>
        <v>Partial yes</v>
      </c>
      <c r="FC9" s="84" t="s">
        <v>149</v>
      </c>
      <c r="FD9" s="84" t="s">
        <v>149</v>
      </c>
      <c r="FE9" s="84" t="s">
        <v>149</v>
      </c>
      <c r="FF9" s="84" t="s">
        <v>150</v>
      </c>
      <c r="FG9" s="84" t="s">
        <v>150</v>
      </c>
      <c r="FH9" s="84" t="s">
        <v>150</v>
      </c>
      <c r="FI9" s="84" t="s">
        <v>149</v>
      </c>
      <c r="FJ9" s="84" t="s">
        <v>149</v>
      </c>
      <c r="FK9" s="84" t="s">
        <v>150</v>
      </c>
      <c r="FL9" s="84" t="s">
        <v>149</v>
      </c>
      <c r="FM9" s="84" t="s">
        <v>150</v>
      </c>
      <c r="FN9" s="84" t="s">
        <v>149</v>
      </c>
      <c r="FO9" s="84" t="str">
        <f t="shared" si="2"/>
        <v>Partial yes</v>
      </c>
      <c r="FP9" s="84" t="s">
        <v>149</v>
      </c>
      <c r="FQ9" s="84" t="s">
        <v>150</v>
      </c>
      <c r="FR9" s="84" t="s">
        <v>832</v>
      </c>
      <c r="FS9" s="84" t="str">
        <f t="shared" si="3"/>
        <v>Partial yes</v>
      </c>
      <c r="FT9" s="84" t="s">
        <v>149</v>
      </c>
      <c r="FU9" s="84" t="s">
        <v>832</v>
      </c>
      <c r="FV9" s="84" t="str">
        <f t="shared" si="4"/>
        <v>Yes</v>
      </c>
      <c r="FW9" s="84" t="str">
        <f t="shared" si="5"/>
        <v>Yes</v>
      </c>
      <c r="FX9" s="84" t="str">
        <f t="shared" si="29"/>
        <v>Yes</v>
      </c>
      <c r="FY9" s="84" t="str">
        <f t="shared" si="6"/>
        <v>No</v>
      </c>
      <c r="FZ9" s="84" t="str">
        <f t="shared" si="7"/>
        <v>Partial yes</v>
      </c>
      <c r="GA9" s="84" t="s">
        <v>149</v>
      </c>
      <c r="GB9" s="84" t="str">
        <f>GA9</f>
        <v>Yes</v>
      </c>
      <c r="GC9" s="84" t="s">
        <v>149</v>
      </c>
      <c r="GD9" s="84" t="str">
        <f t="shared" si="30"/>
        <v>Yes</v>
      </c>
      <c r="GE9" s="84" t="s">
        <v>149</v>
      </c>
      <c r="GF9" s="84" t="str">
        <f t="shared" ref="GF9:GF45" si="31">GE9</f>
        <v>Yes</v>
      </c>
      <c r="GG9" s="84" t="s">
        <v>149</v>
      </c>
      <c r="GH9" s="84" t="str">
        <f t="shared" si="9"/>
        <v>Yes</v>
      </c>
      <c r="GI9" s="84" t="s">
        <v>149</v>
      </c>
      <c r="GJ9" s="84" t="s">
        <v>832</v>
      </c>
      <c r="GK9" s="84" t="str">
        <f t="shared" si="10"/>
        <v>Yes</v>
      </c>
      <c r="GL9" s="84" t="s">
        <v>149</v>
      </c>
      <c r="GM9" s="84" t="s">
        <v>149</v>
      </c>
      <c r="GN9" s="84" t="str">
        <f t="shared" si="11"/>
        <v>Yes</v>
      </c>
      <c r="GO9" s="84" t="s">
        <v>149</v>
      </c>
      <c r="GP9" s="84" t="s">
        <v>832</v>
      </c>
      <c r="GQ9" s="84" t="str">
        <f t="shared" si="12"/>
        <v>Yes</v>
      </c>
      <c r="GR9" s="84" t="s">
        <v>149</v>
      </c>
      <c r="GS9" s="84" t="str">
        <f t="shared" si="13"/>
        <v>Yes</v>
      </c>
      <c r="GT9" s="84" t="s">
        <v>149</v>
      </c>
      <c r="GU9" s="84" t="s">
        <v>149</v>
      </c>
      <c r="GV9" s="84" t="s">
        <v>149</v>
      </c>
      <c r="GW9" s="84" t="s">
        <v>149</v>
      </c>
      <c r="GX9" s="84" t="s">
        <v>150</v>
      </c>
      <c r="GY9" s="84" t="s">
        <v>149</v>
      </c>
      <c r="GZ9" s="84" t="s">
        <v>149</v>
      </c>
      <c r="HA9" s="84" t="str">
        <f t="shared" si="14"/>
        <v>Partial yes</v>
      </c>
      <c r="HB9" s="84" t="s">
        <v>149</v>
      </c>
      <c r="HC9" s="84" t="str">
        <f t="shared" si="15"/>
        <v>Yes</v>
      </c>
      <c r="HD9" s="84" t="s">
        <v>150</v>
      </c>
      <c r="HE9" s="84" t="str">
        <f t="shared" ref="HE9:HE16" si="32">HD9</f>
        <v>No</v>
      </c>
      <c r="HF9" s="84" t="s">
        <v>832</v>
      </c>
      <c r="HG9" s="84" t="s">
        <v>832</v>
      </c>
      <c r="HH9" s="84" t="s">
        <v>832</v>
      </c>
      <c r="HI9" s="84" t="s">
        <v>832</v>
      </c>
      <c r="HJ9" s="84" t="s">
        <v>149</v>
      </c>
      <c r="HK9" s="84" t="s">
        <v>832</v>
      </c>
      <c r="HL9" s="84" t="s">
        <v>832</v>
      </c>
      <c r="HM9" s="84" t="s">
        <v>149</v>
      </c>
      <c r="HN9" s="84" t="str">
        <f t="shared" si="16"/>
        <v>Yes</v>
      </c>
      <c r="HO9" s="84" t="s">
        <v>149</v>
      </c>
      <c r="HP9" s="84" t="str">
        <f t="shared" si="17"/>
        <v>Yes</v>
      </c>
      <c r="HQ9" s="84" t="s">
        <v>149</v>
      </c>
      <c r="HR9" s="84" t="str">
        <f t="shared" si="18"/>
        <v>Yes</v>
      </c>
      <c r="HS9" s="84" t="s">
        <v>149</v>
      </c>
      <c r="HT9" s="84" t="str">
        <f t="shared" si="19"/>
        <v>Yes</v>
      </c>
      <c r="HU9" s="84" t="s">
        <v>149</v>
      </c>
      <c r="HV9" s="84" t="s">
        <v>149</v>
      </c>
      <c r="HW9" s="100" t="s">
        <v>832</v>
      </c>
      <c r="HX9" s="84" t="s">
        <v>150</v>
      </c>
      <c r="HY9" s="84" t="s">
        <v>149</v>
      </c>
      <c r="HZ9" s="84" t="str">
        <f t="shared" si="20"/>
        <v>Partial yes</v>
      </c>
      <c r="IA9" s="84" t="s">
        <v>149</v>
      </c>
      <c r="IB9" s="84" t="str">
        <f t="shared" si="21"/>
        <v>Yes</v>
      </c>
      <c r="IC9" s="84" t="s">
        <v>150</v>
      </c>
      <c r="ID9" s="84" t="str">
        <f t="shared" si="22"/>
        <v>No</v>
      </c>
      <c r="IE9" s="84" t="s">
        <v>832</v>
      </c>
      <c r="IF9" s="84" t="s">
        <v>832</v>
      </c>
      <c r="IG9" s="84" t="s">
        <v>832</v>
      </c>
      <c r="IH9" s="84" t="s">
        <v>832</v>
      </c>
      <c r="II9" s="84" t="s">
        <v>832</v>
      </c>
      <c r="IJ9" s="84" t="s">
        <v>149</v>
      </c>
      <c r="IK9" s="84" t="s">
        <v>149</v>
      </c>
      <c r="IL9" s="84" t="s">
        <v>149</v>
      </c>
      <c r="IM9" s="84" t="s">
        <v>150</v>
      </c>
      <c r="IN9" s="84" t="s">
        <v>149</v>
      </c>
      <c r="IP9" s="84" t="s">
        <v>150</v>
      </c>
      <c r="IR9" s="84" t="str">
        <f t="shared" si="23"/>
        <v>Partial yes</v>
      </c>
      <c r="IS9" s="84" t="s">
        <v>149</v>
      </c>
      <c r="IT9" s="84" t="s">
        <v>149</v>
      </c>
      <c r="IU9" s="84" t="s">
        <v>150</v>
      </c>
      <c r="IV9" s="84" t="str">
        <f t="shared" si="24"/>
        <v>Partial yes</v>
      </c>
      <c r="IW9" s="84" t="s">
        <v>149</v>
      </c>
      <c r="IX9" s="84" t="s">
        <v>149</v>
      </c>
      <c r="IY9" s="84" t="str">
        <f t="shared" si="25"/>
        <v>Yes</v>
      </c>
      <c r="IZ9" s="84" t="s">
        <v>149</v>
      </c>
      <c r="JA9" s="84" t="s">
        <v>149</v>
      </c>
      <c r="JB9" s="84" t="str">
        <f t="shared" si="26"/>
        <v>Yes</v>
      </c>
      <c r="JC9" s="84" t="s">
        <v>149</v>
      </c>
      <c r="JD9" s="84" t="s">
        <v>832</v>
      </c>
      <c r="JE9" s="84" t="str">
        <f t="shared" si="27"/>
        <v>Yes</v>
      </c>
      <c r="JF9" s="84" t="s">
        <v>149</v>
      </c>
      <c r="JG9" s="84" t="str">
        <f t="shared" si="28"/>
        <v>Yes</v>
      </c>
      <c r="JH9" s="84" t="s">
        <v>150</v>
      </c>
    </row>
    <row r="10" spans="1:268" s="84" customFormat="1" ht="16" x14ac:dyDescent="0.25">
      <c r="A10" s="83">
        <v>11</v>
      </c>
      <c r="B10" s="84" t="s">
        <v>286</v>
      </c>
      <c r="C10" s="84" t="s">
        <v>287</v>
      </c>
      <c r="D10" s="84" t="s">
        <v>288</v>
      </c>
      <c r="E10" s="85">
        <v>44140</v>
      </c>
      <c r="F10" s="84" t="s">
        <v>289</v>
      </c>
      <c r="G10" s="84" t="s">
        <v>149</v>
      </c>
      <c r="H10" s="84" t="s">
        <v>150</v>
      </c>
      <c r="I10" s="84" t="s">
        <v>290</v>
      </c>
      <c r="J10" s="84" t="s">
        <v>202</v>
      </c>
      <c r="K10" s="86" t="s">
        <v>203</v>
      </c>
      <c r="L10" s="84" t="s">
        <v>154</v>
      </c>
      <c r="M10" s="86" t="s">
        <v>291</v>
      </c>
      <c r="N10" s="84" t="s">
        <v>717</v>
      </c>
      <c r="O10" s="86" t="s">
        <v>282</v>
      </c>
      <c r="P10" s="84" t="s">
        <v>185</v>
      </c>
      <c r="Q10" s="84" t="s">
        <v>206</v>
      </c>
      <c r="R10" s="88">
        <v>6</v>
      </c>
      <c r="S10" s="84" t="s">
        <v>292</v>
      </c>
      <c r="T10" s="88" t="s">
        <v>149</v>
      </c>
      <c r="U10" s="84" t="s">
        <v>149</v>
      </c>
      <c r="V10" s="84" t="s">
        <v>150</v>
      </c>
      <c r="W10" s="84" t="s">
        <v>150</v>
      </c>
      <c r="X10" s="84" t="s">
        <v>150</v>
      </c>
      <c r="Y10" s="84" t="s">
        <v>150</v>
      </c>
      <c r="Z10" s="84" t="s">
        <v>150</v>
      </c>
      <c r="AA10" s="89"/>
      <c r="AB10" s="84" t="s">
        <v>149</v>
      </c>
      <c r="AC10" s="84" t="s">
        <v>150</v>
      </c>
      <c r="AD10" s="84" t="s">
        <v>150</v>
      </c>
      <c r="AE10" s="84" t="s">
        <v>150</v>
      </c>
      <c r="AF10" s="89"/>
      <c r="AG10" s="84" t="s">
        <v>293</v>
      </c>
      <c r="AH10" s="90" t="s">
        <v>160</v>
      </c>
      <c r="AI10" s="146" t="s">
        <v>150</v>
      </c>
      <c r="AJ10" s="87" t="s">
        <v>150</v>
      </c>
      <c r="AL10" s="92"/>
      <c r="AM10" s="84" t="s">
        <v>150</v>
      </c>
      <c r="AQ10" s="86"/>
      <c r="AR10" s="91"/>
      <c r="AS10" s="84" t="s">
        <v>149</v>
      </c>
      <c r="AT10" s="84" t="s">
        <v>149</v>
      </c>
      <c r="AU10" s="84" t="s">
        <v>149</v>
      </c>
      <c r="AV10" s="84" t="s">
        <v>149</v>
      </c>
      <c r="AW10" s="84" t="s">
        <v>149</v>
      </c>
      <c r="AX10" s="84" t="s">
        <v>149</v>
      </c>
      <c r="AY10" s="92" t="s">
        <v>149</v>
      </c>
      <c r="AZ10" s="84" t="s">
        <v>149</v>
      </c>
      <c r="BA10" s="84" t="s">
        <v>150</v>
      </c>
      <c r="BB10" s="84" t="s">
        <v>150</v>
      </c>
      <c r="BC10" s="84" t="s">
        <v>150</v>
      </c>
      <c r="BD10" s="84" t="s">
        <v>150</v>
      </c>
      <c r="BE10" s="84" t="s">
        <v>150</v>
      </c>
      <c r="BF10" s="84" t="s">
        <v>149</v>
      </c>
      <c r="BG10" s="87" t="s">
        <v>149</v>
      </c>
      <c r="BH10" s="84" t="s">
        <v>149</v>
      </c>
      <c r="BI10" s="84" t="s">
        <v>150</v>
      </c>
      <c r="BJ10" s="86" t="s">
        <v>149</v>
      </c>
      <c r="BK10" s="84" t="s">
        <v>149</v>
      </c>
      <c r="BL10" s="84" t="s">
        <v>149</v>
      </c>
      <c r="BM10" s="87" t="s">
        <v>149</v>
      </c>
      <c r="BN10" s="84" t="s">
        <v>149</v>
      </c>
      <c r="BO10" s="84" t="s">
        <v>149</v>
      </c>
      <c r="BP10" s="84" t="s">
        <v>149</v>
      </c>
      <c r="BR10" s="84" t="s">
        <v>149</v>
      </c>
      <c r="BT10" s="87" t="s">
        <v>163</v>
      </c>
      <c r="BU10" s="84" t="s">
        <v>165</v>
      </c>
      <c r="BW10" s="92"/>
      <c r="BX10" s="86" t="s">
        <v>165</v>
      </c>
      <c r="BY10" s="84" t="s">
        <v>149</v>
      </c>
      <c r="BZ10" s="93"/>
      <c r="CA10" s="94">
        <v>1156</v>
      </c>
      <c r="CB10" s="92">
        <v>24</v>
      </c>
      <c r="CC10" s="84">
        <v>5</v>
      </c>
      <c r="CD10" s="95">
        <v>19</v>
      </c>
      <c r="CE10" s="85">
        <v>44112</v>
      </c>
      <c r="CF10" s="84" t="s">
        <v>150</v>
      </c>
      <c r="CH10" s="86"/>
      <c r="CI10" s="84" t="s">
        <v>150</v>
      </c>
      <c r="CJ10" s="92"/>
      <c r="CK10" s="84" t="s">
        <v>149</v>
      </c>
      <c r="CL10" s="92" t="s">
        <v>294</v>
      </c>
      <c r="CM10" s="92" t="s">
        <v>149</v>
      </c>
      <c r="CN10" s="96" t="s">
        <v>150</v>
      </c>
      <c r="CU10" s="97" t="s">
        <v>295</v>
      </c>
      <c r="CV10" s="87" t="s">
        <v>149</v>
      </c>
      <c r="CW10" s="97" t="s">
        <v>150</v>
      </c>
      <c r="CX10" s="97"/>
      <c r="DC10" s="97"/>
      <c r="DD10" s="87" t="s">
        <v>150</v>
      </c>
      <c r="DE10" s="97" t="s">
        <v>150</v>
      </c>
      <c r="DF10" s="97"/>
      <c r="DJ10" s="96"/>
      <c r="DK10" s="86"/>
      <c r="DL10" s="84" t="s">
        <v>150</v>
      </c>
      <c r="DM10" s="97" t="s">
        <v>150</v>
      </c>
      <c r="DN10" s="97"/>
      <c r="DS10" s="97"/>
      <c r="DT10" s="90" t="s">
        <v>150</v>
      </c>
      <c r="DU10" s="84" t="s">
        <v>150</v>
      </c>
      <c r="DW10" s="84" t="s">
        <v>149</v>
      </c>
      <c r="DX10" s="84" t="s">
        <v>296</v>
      </c>
      <c r="DY10" s="87" t="s">
        <v>150</v>
      </c>
      <c r="DZ10" s="84" t="s">
        <v>150</v>
      </c>
      <c r="EB10" s="86"/>
      <c r="EC10" s="87" t="s">
        <v>149</v>
      </c>
      <c r="ED10" s="97" t="s">
        <v>150</v>
      </c>
      <c r="EF10" s="84" t="s">
        <v>196</v>
      </c>
      <c r="EG10" s="84" t="s">
        <v>150</v>
      </c>
      <c r="EI10" s="96" t="s">
        <v>150</v>
      </c>
      <c r="EJ10" s="97"/>
      <c r="EN10" s="96"/>
      <c r="EO10" s="96"/>
      <c r="EP10" s="95"/>
      <c r="EQ10" s="126" t="s">
        <v>149</v>
      </c>
      <c r="ER10" s="134" t="s">
        <v>171</v>
      </c>
      <c r="ES10" s="98" t="s">
        <v>166</v>
      </c>
      <c r="ET10" s="98" t="s">
        <v>166</v>
      </c>
      <c r="EU10" s="99" t="s">
        <v>171</v>
      </c>
      <c r="EV10" s="140" t="s">
        <v>171</v>
      </c>
      <c r="EW10" s="146" t="str">
        <f t="shared" si="0"/>
        <v>High</v>
      </c>
      <c r="EX10" s="141"/>
      <c r="EY10" s="84" t="s">
        <v>149</v>
      </c>
      <c r="EZ10" s="84" t="s">
        <v>149</v>
      </c>
      <c r="FA10" s="84" t="s">
        <v>150</v>
      </c>
      <c r="FB10" s="86" t="str">
        <f t="shared" si="1"/>
        <v>Partial yes</v>
      </c>
      <c r="FC10" s="84" t="s">
        <v>149</v>
      </c>
      <c r="FD10" s="84" t="s">
        <v>149</v>
      </c>
      <c r="FE10" s="84" t="s">
        <v>149</v>
      </c>
      <c r="FF10" s="84" t="s">
        <v>149</v>
      </c>
      <c r="FG10" s="84" t="s">
        <v>150</v>
      </c>
      <c r="FH10" s="84" t="s">
        <v>150</v>
      </c>
      <c r="FI10" s="84" t="s">
        <v>149</v>
      </c>
      <c r="FJ10" s="84" t="s">
        <v>149</v>
      </c>
      <c r="FK10" s="84" t="s">
        <v>150</v>
      </c>
      <c r="FL10" s="84" t="s">
        <v>149</v>
      </c>
      <c r="FM10" s="84" t="s">
        <v>150</v>
      </c>
      <c r="FN10" s="84" t="s">
        <v>150</v>
      </c>
      <c r="FO10" s="84" t="str">
        <f t="shared" si="2"/>
        <v>Partial yes</v>
      </c>
      <c r="FP10" s="84" t="s">
        <v>149</v>
      </c>
      <c r="FQ10" s="84" t="s">
        <v>150</v>
      </c>
      <c r="FR10" s="84" t="s">
        <v>832</v>
      </c>
      <c r="FS10" s="84" t="str">
        <f t="shared" si="3"/>
        <v>Partial yes</v>
      </c>
      <c r="FT10" s="84" t="s">
        <v>149</v>
      </c>
      <c r="FU10" s="84" t="s">
        <v>832</v>
      </c>
      <c r="FV10" s="84" t="str">
        <f t="shared" si="4"/>
        <v>Yes</v>
      </c>
      <c r="FW10" s="84" t="str">
        <f t="shared" si="5"/>
        <v>Yes</v>
      </c>
      <c r="FX10" s="84" t="str">
        <f t="shared" si="29"/>
        <v>Yes</v>
      </c>
      <c r="FY10" s="84" t="str">
        <f t="shared" si="6"/>
        <v>No</v>
      </c>
      <c r="FZ10" s="84" t="str">
        <f t="shared" si="7"/>
        <v>Partial yes</v>
      </c>
      <c r="GA10" s="84" t="s">
        <v>149</v>
      </c>
      <c r="GB10" s="84" t="s">
        <v>149</v>
      </c>
      <c r="GC10" s="84" t="s">
        <v>149</v>
      </c>
      <c r="GD10" s="84" t="str">
        <f t="shared" si="30"/>
        <v>Yes</v>
      </c>
      <c r="GE10" s="84" t="s">
        <v>149</v>
      </c>
      <c r="GF10" s="84" t="str">
        <f t="shared" si="31"/>
        <v>Yes</v>
      </c>
      <c r="GG10" s="84" t="s">
        <v>149</v>
      </c>
      <c r="GH10" s="84" t="str">
        <f t="shared" si="9"/>
        <v>Yes</v>
      </c>
      <c r="GI10" s="84" t="s">
        <v>149</v>
      </c>
      <c r="GJ10" s="84" t="s">
        <v>832</v>
      </c>
      <c r="GK10" s="84" t="str">
        <f t="shared" si="10"/>
        <v>Yes</v>
      </c>
      <c r="GL10" s="84" t="s">
        <v>149</v>
      </c>
      <c r="GM10" s="84" t="s">
        <v>149</v>
      </c>
      <c r="GN10" s="84" t="str">
        <f t="shared" si="11"/>
        <v>Yes</v>
      </c>
      <c r="GO10" s="84" t="s">
        <v>149</v>
      </c>
      <c r="GP10" s="84" t="s">
        <v>832</v>
      </c>
      <c r="GQ10" s="84" t="str">
        <f t="shared" si="12"/>
        <v>Yes</v>
      </c>
      <c r="GR10" s="84" t="s">
        <v>149</v>
      </c>
      <c r="GS10" s="84" t="str">
        <f t="shared" si="13"/>
        <v>Yes</v>
      </c>
      <c r="GT10" s="84" t="s">
        <v>149</v>
      </c>
      <c r="GU10" s="84" t="s">
        <v>149</v>
      </c>
      <c r="GV10" s="84" t="s">
        <v>149</v>
      </c>
      <c r="GW10" s="84" t="s">
        <v>149</v>
      </c>
      <c r="GX10" s="84" t="s">
        <v>150</v>
      </c>
      <c r="GY10" s="84" t="s">
        <v>149</v>
      </c>
      <c r="GZ10" s="84" t="s">
        <v>149</v>
      </c>
      <c r="HA10" s="84" t="str">
        <f t="shared" si="14"/>
        <v>Partial yes</v>
      </c>
      <c r="HB10" s="84" t="s">
        <v>149</v>
      </c>
      <c r="HC10" s="84" t="str">
        <f t="shared" si="15"/>
        <v>Yes</v>
      </c>
      <c r="HD10" s="84" t="s">
        <v>149</v>
      </c>
      <c r="HE10" s="84" t="str">
        <f t="shared" si="32"/>
        <v>Yes</v>
      </c>
      <c r="HF10" s="84" t="s">
        <v>832</v>
      </c>
      <c r="HG10" s="84" t="s">
        <v>832</v>
      </c>
      <c r="HH10" s="84" t="s">
        <v>832</v>
      </c>
      <c r="HI10" s="84" t="s">
        <v>832</v>
      </c>
      <c r="HJ10" s="84" t="s">
        <v>149</v>
      </c>
      <c r="HK10" s="84" t="s">
        <v>832</v>
      </c>
      <c r="HL10" s="84" t="s">
        <v>832</v>
      </c>
      <c r="HM10" s="84" t="s">
        <v>149</v>
      </c>
      <c r="HN10" s="84" t="str">
        <f t="shared" si="16"/>
        <v>Yes</v>
      </c>
      <c r="HO10" s="84" t="s">
        <v>149</v>
      </c>
      <c r="HP10" s="84" t="str">
        <f t="shared" si="17"/>
        <v>Yes</v>
      </c>
      <c r="HQ10" s="84" t="s">
        <v>149</v>
      </c>
      <c r="HR10" s="84" t="str">
        <f t="shared" si="18"/>
        <v>Yes</v>
      </c>
      <c r="HS10" s="84" t="s">
        <v>149</v>
      </c>
      <c r="HT10" s="84" t="str">
        <f t="shared" si="19"/>
        <v>Yes</v>
      </c>
      <c r="HU10" s="84" t="s">
        <v>149</v>
      </c>
      <c r="HV10" s="84" t="s">
        <v>149</v>
      </c>
      <c r="HW10" s="100" t="s">
        <v>832</v>
      </c>
      <c r="HX10" s="84" t="s">
        <v>149</v>
      </c>
      <c r="HY10" s="84" t="s">
        <v>149</v>
      </c>
      <c r="HZ10" s="84" t="str">
        <f t="shared" si="20"/>
        <v>Partial yes</v>
      </c>
      <c r="IA10" s="84" t="s">
        <v>149</v>
      </c>
      <c r="IB10" s="84" t="str">
        <f t="shared" si="21"/>
        <v>Yes</v>
      </c>
      <c r="IC10" s="84" t="s">
        <v>149</v>
      </c>
      <c r="ID10" s="84" t="str">
        <f t="shared" si="22"/>
        <v>Yes</v>
      </c>
      <c r="IE10" s="84" t="s">
        <v>832</v>
      </c>
      <c r="IF10" s="84" t="s">
        <v>832</v>
      </c>
      <c r="IG10" s="84" t="s">
        <v>832</v>
      </c>
      <c r="IH10" s="84" t="s">
        <v>832</v>
      </c>
      <c r="II10" s="84" t="s">
        <v>832</v>
      </c>
      <c r="IJ10" s="84" t="s">
        <v>149</v>
      </c>
      <c r="IK10" s="84" t="s">
        <v>149</v>
      </c>
      <c r="IL10" s="84" t="s">
        <v>149</v>
      </c>
      <c r="IM10" s="84" t="s">
        <v>150</v>
      </c>
      <c r="IN10" s="84" t="s">
        <v>149</v>
      </c>
      <c r="IP10" s="84" t="s">
        <v>150</v>
      </c>
      <c r="IR10" s="84" t="str">
        <f t="shared" si="23"/>
        <v>Partial yes</v>
      </c>
      <c r="IS10" s="84" t="s">
        <v>150</v>
      </c>
      <c r="IT10" s="84" t="s">
        <v>150</v>
      </c>
      <c r="IU10" s="84" t="s">
        <v>150</v>
      </c>
      <c r="IV10" s="84" t="str">
        <f t="shared" si="24"/>
        <v>No</v>
      </c>
      <c r="IW10" s="84" t="s">
        <v>149</v>
      </c>
      <c r="IX10" s="84" t="s">
        <v>149</v>
      </c>
      <c r="IY10" s="84" t="str">
        <f t="shared" si="25"/>
        <v>Yes</v>
      </c>
      <c r="IZ10" s="84" t="s">
        <v>149</v>
      </c>
      <c r="JA10" s="84" t="s">
        <v>149</v>
      </c>
      <c r="JB10" s="84" t="str">
        <f t="shared" si="26"/>
        <v>Yes</v>
      </c>
      <c r="JC10" s="84" t="s">
        <v>150</v>
      </c>
      <c r="JD10" s="84" t="s">
        <v>832</v>
      </c>
      <c r="JE10" s="84" t="str">
        <f t="shared" si="27"/>
        <v>No</v>
      </c>
      <c r="JF10" s="84" t="s">
        <v>149</v>
      </c>
      <c r="JG10" s="84" t="s">
        <v>149</v>
      </c>
      <c r="JH10" s="51" t="s">
        <v>150</v>
      </c>
    </row>
    <row r="11" spans="1:268" s="84" customFormat="1" ht="16" x14ac:dyDescent="0.25">
      <c r="A11" s="83">
        <v>19</v>
      </c>
      <c r="B11" s="84" t="s">
        <v>341</v>
      </c>
      <c r="C11" s="84" t="s">
        <v>342</v>
      </c>
      <c r="D11" s="84" t="s">
        <v>178</v>
      </c>
      <c r="E11" s="85">
        <v>44467</v>
      </c>
      <c r="F11" s="84" t="s">
        <v>343</v>
      </c>
      <c r="G11" s="84" t="s">
        <v>149</v>
      </c>
      <c r="H11" s="84" t="s">
        <v>149</v>
      </c>
      <c r="I11" s="84" t="s">
        <v>344</v>
      </c>
      <c r="J11" s="84" t="s">
        <v>345</v>
      </c>
      <c r="K11" s="86" t="s">
        <v>346</v>
      </c>
      <c r="L11" s="84" t="s">
        <v>154</v>
      </c>
      <c r="M11" s="86" t="s">
        <v>347</v>
      </c>
      <c r="N11" s="84" t="s">
        <v>348</v>
      </c>
      <c r="O11" s="86" t="s">
        <v>347</v>
      </c>
      <c r="P11" s="84" t="s">
        <v>158</v>
      </c>
      <c r="Q11" s="84" t="s">
        <v>206</v>
      </c>
      <c r="R11" s="88"/>
      <c r="T11" s="88" t="s">
        <v>150</v>
      </c>
      <c r="U11" s="84" t="s">
        <v>149</v>
      </c>
      <c r="V11" s="84" t="s">
        <v>150</v>
      </c>
      <c r="W11" s="84" t="s">
        <v>150</v>
      </c>
      <c r="X11" s="84" t="s">
        <v>150</v>
      </c>
      <c r="Y11" s="84" t="s">
        <v>150</v>
      </c>
      <c r="Z11" s="84" t="s">
        <v>150</v>
      </c>
      <c r="AA11" s="89"/>
      <c r="AB11" s="84" t="s">
        <v>149</v>
      </c>
      <c r="AC11" s="84" t="s">
        <v>150</v>
      </c>
      <c r="AD11" s="84" t="s">
        <v>150</v>
      </c>
      <c r="AE11" s="84" t="s">
        <v>150</v>
      </c>
      <c r="AF11" s="89"/>
      <c r="AH11" s="90" t="s">
        <v>188</v>
      </c>
      <c r="AI11" s="146" t="s">
        <v>149</v>
      </c>
      <c r="AJ11" s="160" t="s">
        <v>150</v>
      </c>
      <c r="AK11" s="161"/>
      <c r="AL11" s="162"/>
      <c r="AM11" s="161" t="s">
        <v>150</v>
      </c>
      <c r="AQ11" s="86"/>
      <c r="AR11" s="91" t="s">
        <v>349</v>
      </c>
      <c r="AS11" s="84" t="s">
        <v>149</v>
      </c>
      <c r="AT11" s="84" t="s">
        <v>149</v>
      </c>
      <c r="AU11" s="84" t="s">
        <v>149</v>
      </c>
      <c r="AV11" s="84" t="s">
        <v>150</v>
      </c>
      <c r="AW11" s="84" t="s">
        <v>150</v>
      </c>
      <c r="AX11" s="84" t="s">
        <v>150</v>
      </c>
      <c r="AY11" s="92" t="s">
        <v>149</v>
      </c>
      <c r="AZ11" s="84" t="s">
        <v>149</v>
      </c>
      <c r="BA11" s="84" t="s">
        <v>149</v>
      </c>
      <c r="BB11" s="84" t="s">
        <v>149</v>
      </c>
      <c r="BC11" s="84" t="s">
        <v>150</v>
      </c>
      <c r="BD11" s="84" t="s">
        <v>149</v>
      </c>
      <c r="BE11" s="84" t="s">
        <v>149</v>
      </c>
      <c r="BF11" s="84" t="s">
        <v>150</v>
      </c>
      <c r="BG11" s="87" t="s">
        <v>149</v>
      </c>
      <c r="BH11" s="84" t="s">
        <v>149</v>
      </c>
      <c r="BI11" s="84" t="s">
        <v>149</v>
      </c>
      <c r="BJ11" s="86" t="s">
        <v>149</v>
      </c>
      <c r="BK11" s="84" t="s">
        <v>149</v>
      </c>
      <c r="BL11" s="84" t="s">
        <v>149</v>
      </c>
      <c r="BM11" s="87" t="s">
        <v>149</v>
      </c>
      <c r="BN11" s="84" t="s">
        <v>149</v>
      </c>
      <c r="BO11" s="84" t="s">
        <v>149</v>
      </c>
      <c r="BP11" s="84" t="s">
        <v>150</v>
      </c>
      <c r="BR11" s="84" t="s">
        <v>191</v>
      </c>
      <c r="BT11" s="87" t="s">
        <v>163</v>
      </c>
      <c r="BU11" s="84" t="s">
        <v>164</v>
      </c>
      <c r="BW11" s="92"/>
      <c r="BX11" s="86" t="s">
        <v>165</v>
      </c>
      <c r="BY11" s="84" t="s">
        <v>149</v>
      </c>
      <c r="BZ11" s="93" t="s">
        <v>210</v>
      </c>
      <c r="CA11" s="94">
        <v>948</v>
      </c>
      <c r="CB11" s="92">
        <v>4</v>
      </c>
      <c r="CC11" s="84">
        <v>4</v>
      </c>
      <c r="CD11" s="95">
        <v>0</v>
      </c>
      <c r="CE11" s="85">
        <v>44361</v>
      </c>
      <c r="CF11" s="84" t="s">
        <v>150</v>
      </c>
      <c r="CH11" s="86"/>
      <c r="CI11" s="84" t="s">
        <v>150</v>
      </c>
      <c r="CJ11" s="92"/>
      <c r="CK11" s="84" t="s">
        <v>149</v>
      </c>
      <c r="CL11" s="92" t="s">
        <v>192</v>
      </c>
      <c r="CM11" s="92" t="s">
        <v>150</v>
      </c>
      <c r="CN11" s="96" t="s">
        <v>149</v>
      </c>
      <c r="CO11" s="84" t="s">
        <v>149</v>
      </c>
      <c r="CP11" s="84" t="s">
        <v>150</v>
      </c>
      <c r="CS11" s="84" t="s">
        <v>150</v>
      </c>
      <c r="CU11" s="97"/>
      <c r="CV11" s="87" t="s">
        <v>150</v>
      </c>
      <c r="CW11" s="97" t="s">
        <v>149</v>
      </c>
      <c r="CX11" s="97" t="s">
        <v>149</v>
      </c>
      <c r="CY11" s="84" t="s">
        <v>193</v>
      </c>
      <c r="DC11" s="97" t="s">
        <v>350</v>
      </c>
      <c r="DD11" s="87" t="s">
        <v>150</v>
      </c>
      <c r="DE11" s="97" t="s">
        <v>150</v>
      </c>
      <c r="DF11" s="97"/>
      <c r="DJ11" s="96"/>
      <c r="DK11" s="86"/>
      <c r="DL11" s="84" t="s">
        <v>150</v>
      </c>
      <c r="DM11" s="97" t="s">
        <v>150</v>
      </c>
      <c r="DN11" s="97"/>
      <c r="DS11" s="97"/>
      <c r="DT11" s="90" t="s">
        <v>150</v>
      </c>
      <c r="DU11" s="84" t="s">
        <v>150</v>
      </c>
      <c r="DW11" s="84" t="s">
        <v>150</v>
      </c>
      <c r="DX11" s="84" t="s">
        <v>351</v>
      </c>
      <c r="DY11" s="87" t="s">
        <v>150</v>
      </c>
      <c r="DZ11" s="84" t="s">
        <v>150</v>
      </c>
      <c r="EB11" s="86"/>
      <c r="EC11" s="87" t="s">
        <v>150</v>
      </c>
      <c r="ED11" s="97"/>
      <c r="EI11" s="96" t="s">
        <v>150</v>
      </c>
      <c r="EJ11" s="97"/>
      <c r="EN11" s="96"/>
      <c r="EO11" s="96"/>
      <c r="EP11" s="95"/>
      <c r="EQ11" s="126" t="s">
        <v>150</v>
      </c>
      <c r="ER11" s="134" t="s">
        <v>171</v>
      </c>
      <c r="ES11" s="98" t="s">
        <v>166</v>
      </c>
      <c r="ET11" s="98" t="s">
        <v>166</v>
      </c>
      <c r="EU11" s="99" t="s">
        <v>171</v>
      </c>
      <c r="EV11" s="140" t="s">
        <v>171</v>
      </c>
      <c r="EW11" s="146" t="str">
        <f t="shared" si="0"/>
        <v>High</v>
      </c>
      <c r="EX11" s="141"/>
      <c r="EY11" s="84" t="s">
        <v>150</v>
      </c>
      <c r="EZ11" s="84" t="s">
        <v>150</v>
      </c>
      <c r="FA11" s="84" t="s">
        <v>150</v>
      </c>
      <c r="FB11" s="86" t="str">
        <f t="shared" si="1"/>
        <v>No</v>
      </c>
      <c r="FC11" s="84" t="s">
        <v>149</v>
      </c>
      <c r="FD11" s="84" t="s">
        <v>149</v>
      </c>
      <c r="FE11" s="84" t="s">
        <v>149</v>
      </c>
      <c r="FF11" s="84" t="s">
        <v>149</v>
      </c>
      <c r="FG11" s="84" t="s">
        <v>150</v>
      </c>
      <c r="FH11" s="84" t="s">
        <v>150</v>
      </c>
      <c r="FI11" s="84" t="s">
        <v>149</v>
      </c>
      <c r="FJ11" s="84" t="s">
        <v>149</v>
      </c>
      <c r="FK11" s="84" t="s">
        <v>149</v>
      </c>
      <c r="FL11" s="84" t="s">
        <v>149</v>
      </c>
      <c r="FM11" s="84" t="s">
        <v>150</v>
      </c>
      <c r="FN11" s="84" t="s">
        <v>150</v>
      </c>
      <c r="FO11" s="84" t="str">
        <f t="shared" si="2"/>
        <v>Partial yes</v>
      </c>
      <c r="FP11" s="84" t="s">
        <v>149</v>
      </c>
      <c r="FQ11" s="84" t="s">
        <v>149</v>
      </c>
      <c r="FR11" s="84" t="s">
        <v>832</v>
      </c>
      <c r="FS11" s="84" t="str">
        <f t="shared" si="3"/>
        <v>Yes</v>
      </c>
      <c r="FT11" s="84" t="s">
        <v>149</v>
      </c>
      <c r="FU11" s="84" t="s">
        <v>832</v>
      </c>
      <c r="FV11" s="84" t="str">
        <f t="shared" si="4"/>
        <v>Yes</v>
      </c>
      <c r="FW11" s="84" t="str">
        <f t="shared" si="5"/>
        <v>Yes</v>
      </c>
      <c r="FX11" s="84" t="str">
        <f t="shared" si="29"/>
        <v>No</v>
      </c>
      <c r="FY11" s="84" t="str">
        <f t="shared" si="6"/>
        <v>No</v>
      </c>
      <c r="FZ11" s="84" t="str">
        <f t="shared" si="7"/>
        <v>Partial yes</v>
      </c>
      <c r="GA11" s="84" t="s">
        <v>149</v>
      </c>
      <c r="GB11" s="84" t="str">
        <f>GA11</f>
        <v>Yes</v>
      </c>
      <c r="GC11" s="84" t="s">
        <v>149</v>
      </c>
      <c r="GD11" s="84" t="str">
        <f t="shared" si="30"/>
        <v>Yes</v>
      </c>
      <c r="GE11" s="84" t="s">
        <v>149</v>
      </c>
      <c r="GF11" s="84" t="str">
        <f t="shared" si="31"/>
        <v>Yes</v>
      </c>
      <c r="GG11" s="84" t="s">
        <v>149</v>
      </c>
      <c r="GH11" s="84" t="str">
        <f t="shared" si="9"/>
        <v>Yes</v>
      </c>
      <c r="GI11" s="84" t="s">
        <v>149</v>
      </c>
      <c r="GJ11" s="84" t="s">
        <v>832</v>
      </c>
      <c r="GK11" s="84" t="str">
        <f t="shared" si="10"/>
        <v>Yes</v>
      </c>
      <c r="GL11" s="84" t="s">
        <v>149</v>
      </c>
      <c r="GM11" s="84" t="s">
        <v>149</v>
      </c>
      <c r="GN11" s="84" t="str">
        <f t="shared" si="11"/>
        <v>Yes</v>
      </c>
      <c r="GO11" s="84" t="s">
        <v>149</v>
      </c>
      <c r="GP11" s="84" t="s">
        <v>832</v>
      </c>
      <c r="GQ11" s="84" t="str">
        <f t="shared" si="12"/>
        <v>Yes</v>
      </c>
      <c r="GR11" s="84" t="s">
        <v>149</v>
      </c>
      <c r="GS11" s="84" t="str">
        <f t="shared" si="13"/>
        <v>Yes</v>
      </c>
      <c r="GT11" s="84" t="s">
        <v>149</v>
      </c>
      <c r="GU11" s="84" t="s">
        <v>149</v>
      </c>
      <c r="GV11" s="84" t="s">
        <v>149</v>
      </c>
      <c r="GW11" s="84" t="s">
        <v>149</v>
      </c>
      <c r="GX11" s="84" t="s">
        <v>149</v>
      </c>
      <c r="GY11" s="84" t="s">
        <v>149</v>
      </c>
      <c r="GZ11" s="84" t="s">
        <v>149</v>
      </c>
      <c r="HA11" s="84" t="str">
        <f t="shared" si="14"/>
        <v>Yes</v>
      </c>
      <c r="HB11" s="84" t="s">
        <v>149</v>
      </c>
      <c r="HC11" s="84" t="str">
        <f t="shared" si="15"/>
        <v>Yes</v>
      </c>
      <c r="HD11" s="84" t="s">
        <v>149</v>
      </c>
      <c r="HE11" s="84" t="str">
        <f t="shared" si="32"/>
        <v>Yes</v>
      </c>
      <c r="HF11" s="84" t="s">
        <v>832</v>
      </c>
      <c r="HG11" s="84" t="s">
        <v>832</v>
      </c>
      <c r="HH11" s="84" t="s">
        <v>832</v>
      </c>
      <c r="HI11" s="84" t="s">
        <v>832</v>
      </c>
      <c r="HJ11" s="84" t="s">
        <v>149</v>
      </c>
      <c r="HK11" s="84" t="s">
        <v>832</v>
      </c>
      <c r="HL11" s="84" t="s">
        <v>832</v>
      </c>
      <c r="HM11" s="84" t="s">
        <v>149</v>
      </c>
      <c r="HN11" s="84" t="str">
        <f t="shared" si="16"/>
        <v>Yes</v>
      </c>
      <c r="HO11" s="84" t="s">
        <v>149</v>
      </c>
      <c r="HP11" s="84" t="str">
        <f t="shared" si="17"/>
        <v>Yes</v>
      </c>
      <c r="HQ11" s="84" t="s">
        <v>149</v>
      </c>
      <c r="HR11" s="84" t="str">
        <f t="shared" si="18"/>
        <v>Yes</v>
      </c>
      <c r="HS11" s="84" t="s">
        <v>149</v>
      </c>
      <c r="HT11" s="84" t="str">
        <f t="shared" si="19"/>
        <v>Yes</v>
      </c>
      <c r="HU11" s="84" t="s">
        <v>149</v>
      </c>
      <c r="HV11" s="84" t="s">
        <v>149</v>
      </c>
      <c r="HW11" s="100" t="s">
        <v>832</v>
      </c>
      <c r="HX11" s="84" t="s">
        <v>149</v>
      </c>
      <c r="HY11" s="84" t="s">
        <v>149</v>
      </c>
      <c r="HZ11" s="84" t="str">
        <f t="shared" si="20"/>
        <v>Partial yes</v>
      </c>
      <c r="IA11" s="84" t="s">
        <v>149</v>
      </c>
      <c r="IB11" s="84" t="str">
        <f t="shared" si="21"/>
        <v>Yes</v>
      </c>
      <c r="IC11" s="84" t="s">
        <v>149</v>
      </c>
      <c r="ID11" s="84" t="str">
        <f t="shared" si="22"/>
        <v>Yes</v>
      </c>
      <c r="IE11" s="84" t="s">
        <v>832</v>
      </c>
      <c r="IF11" s="84" t="s">
        <v>832</v>
      </c>
      <c r="IG11" s="84" t="s">
        <v>832</v>
      </c>
      <c r="IH11" s="84" t="s">
        <v>832</v>
      </c>
      <c r="II11" s="84" t="s">
        <v>832</v>
      </c>
      <c r="IJ11" s="84" t="s">
        <v>149</v>
      </c>
      <c r="IK11" s="84" t="s">
        <v>149</v>
      </c>
      <c r="IL11" s="84" t="s">
        <v>149</v>
      </c>
      <c r="IM11" s="84" t="s">
        <v>150</v>
      </c>
      <c r="IN11" s="84" t="s">
        <v>149</v>
      </c>
      <c r="IP11" s="84" t="s">
        <v>150</v>
      </c>
      <c r="IR11" s="84" t="str">
        <f t="shared" si="23"/>
        <v>Partial yes</v>
      </c>
      <c r="IS11" s="84" t="s">
        <v>149</v>
      </c>
      <c r="IT11" s="84" t="s">
        <v>149</v>
      </c>
      <c r="IU11" s="84" t="s">
        <v>150</v>
      </c>
      <c r="IV11" s="84" t="str">
        <f t="shared" si="24"/>
        <v>Partial yes</v>
      </c>
      <c r="IW11" s="84" t="s">
        <v>149</v>
      </c>
      <c r="IX11" s="84" t="s">
        <v>149</v>
      </c>
      <c r="IY11" s="84" t="str">
        <f t="shared" si="25"/>
        <v>Yes</v>
      </c>
      <c r="IZ11" s="84" t="s">
        <v>149</v>
      </c>
      <c r="JA11" s="84" t="s">
        <v>149</v>
      </c>
      <c r="JB11" s="84" t="str">
        <f t="shared" si="26"/>
        <v>Yes</v>
      </c>
      <c r="JC11" s="84" t="s">
        <v>150</v>
      </c>
      <c r="JD11" s="84" t="s">
        <v>832</v>
      </c>
      <c r="JE11" s="84" t="str">
        <f t="shared" si="27"/>
        <v>No</v>
      </c>
      <c r="JF11" s="84" t="s">
        <v>149</v>
      </c>
      <c r="JG11" s="84" t="str">
        <f>JF11</f>
        <v>Yes</v>
      </c>
      <c r="JH11" s="51" t="s">
        <v>150</v>
      </c>
    </row>
    <row r="12" spans="1:268" s="84" customFormat="1" ht="16" x14ac:dyDescent="0.25">
      <c r="A12" s="83">
        <v>35</v>
      </c>
      <c r="B12" s="84" t="s">
        <v>430</v>
      </c>
      <c r="C12" s="84" t="s">
        <v>431</v>
      </c>
      <c r="D12" s="84" t="s">
        <v>178</v>
      </c>
      <c r="E12" s="85">
        <v>44973</v>
      </c>
      <c r="F12" s="84" t="s">
        <v>432</v>
      </c>
      <c r="G12" s="84" t="s">
        <v>149</v>
      </c>
      <c r="H12" s="84" t="s">
        <v>149</v>
      </c>
      <c r="I12" s="84" t="s">
        <v>180</v>
      </c>
      <c r="J12" s="84" t="s">
        <v>495</v>
      </c>
      <c r="K12" s="86" t="s">
        <v>576</v>
      </c>
      <c r="L12" s="84" t="s">
        <v>165</v>
      </c>
      <c r="M12" s="86" t="s">
        <v>593</v>
      </c>
      <c r="N12" s="84" t="s">
        <v>717</v>
      </c>
      <c r="O12" s="86" t="s">
        <v>594</v>
      </c>
      <c r="P12" s="84" t="s">
        <v>185</v>
      </c>
      <c r="Q12" s="84" t="s">
        <v>595</v>
      </c>
      <c r="R12" s="88">
        <v>2</v>
      </c>
      <c r="S12" s="84" t="s">
        <v>596</v>
      </c>
      <c r="T12" s="88" t="s">
        <v>149</v>
      </c>
      <c r="U12" s="84" t="s">
        <v>150</v>
      </c>
      <c r="V12" s="84" t="s">
        <v>150</v>
      </c>
      <c r="W12" s="84" t="s">
        <v>150</v>
      </c>
      <c r="X12" s="84" t="s">
        <v>150</v>
      </c>
      <c r="Y12" s="84" t="s">
        <v>149</v>
      </c>
      <c r="Z12" s="84" t="s">
        <v>150</v>
      </c>
      <c r="AA12" s="89"/>
      <c r="AB12" s="84" t="s">
        <v>149</v>
      </c>
      <c r="AC12" s="84" t="s">
        <v>149</v>
      </c>
      <c r="AD12" s="84" t="s">
        <v>150</v>
      </c>
      <c r="AE12" s="84" t="s">
        <v>150</v>
      </c>
      <c r="AF12" s="89"/>
      <c r="AH12" s="90" t="s">
        <v>188</v>
      </c>
      <c r="AI12" s="146" t="s">
        <v>149</v>
      </c>
      <c r="AJ12" s="156" t="s">
        <v>149</v>
      </c>
      <c r="AK12" s="157" t="s">
        <v>577</v>
      </c>
      <c r="AL12" s="158">
        <v>44293</v>
      </c>
      <c r="AM12" s="164" t="s">
        <v>150</v>
      </c>
      <c r="AQ12" s="86"/>
      <c r="AR12" s="91"/>
      <c r="AS12" s="84" t="s">
        <v>149</v>
      </c>
      <c r="AT12" s="84" t="s">
        <v>149</v>
      </c>
      <c r="AU12" s="84" t="s">
        <v>149</v>
      </c>
      <c r="AV12" s="84" t="s">
        <v>150</v>
      </c>
      <c r="AW12" s="84" t="s">
        <v>150</v>
      </c>
      <c r="AX12" s="84" t="s">
        <v>150</v>
      </c>
      <c r="AY12" s="92" t="s">
        <v>150</v>
      </c>
      <c r="AZ12" s="84" t="s">
        <v>149</v>
      </c>
      <c r="BA12" s="84" t="s">
        <v>149</v>
      </c>
      <c r="BB12" s="84" t="s">
        <v>149</v>
      </c>
      <c r="BC12" s="84" t="s">
        <v>149</v>
      </c>
      <c r="BD12" s="84" t="s">
        <v>150</v>
      </c>
      <c r="BE12" s="84" t="s">
        <v>150</v>
      </c>
      <c r="BF12" s="84" t="s">
        <v>150</v>
      </c>
      <c r="BG12" s="87" t="s">
        <v>149</v>
      </c>
      <c r="BH12" s="84" t="s">
        <v>149</v>
      </c>
      <c r="BI12" s="84" t="s">
        <v>150</v>
      </c>
      <c r="BJ12" s="86" t="s">
        <v>149</v>
      </c>
      <c r="BK12" s="84" t="s">
        <v>150</v>
      </c>
      <c r="BL12" s="84" t="s">
        <v>149</v>
      </c>
      <c r="BM12" s="87" t="s">
        <v>149</v>
      </c>
      <c r="BN12" s="84" t="s">
        <v>149</v>
      </c>
      <c r="BO12" s="84" t="s">
        <v>149</v>
      </c>
      <c r="BP12" s="84" t="s">
        <v>149</v>
      </c>
      <c r="BR12" s="84" t="s">
        <v>191</v>
      </c>
      <c r="BT12" s="87" t="s">
        <v>165</v>
      </c>
      <c r="BU12" s="84" t="s">
        <v>165</v>
      </c>
      <c r="BW12" s="92"/>
      <c r="BX12" s="86" t="s">
        <v>165</v>
      </c>
      <c r="BY12" s="84" t="s">
        <v>149</v>
      </c>
      <c r="BZ12" s="93"/>
      <c r="CA12" s="94">
        <v>1473</v>
      </c>
      <c r="CB12" s="92">
        <v>64</v>
      </c>
      <c r="CC12" s="84">
        <v>64</v>
      </c>
      <c r="CD12" s="95">
        <v>0</v>
      </c>
      <c r="CE12" s="85">
        <v>44618</v>
      </c>
      <c r="CF12" s="84" t="s">
        <v>150</v>
      </c>
      <c r="CH12" s="86"/>
      <c r="CI12" s="84" t="s">
        <v>150</v>
      </c>
      <c r="CJ12" s="92"/>
      <c r="CK12" s="84" t="s">
        <v>149</v>
      </c>
      <c r="CL12" s="92" t="s">
        <v>167</v>
      </c>
      <c r="CM12" s="92" t="s">
        <v>150</v>
      </c>
      <c r="CN12" s="96" t="s">
        <v>150</v>
      </c>
      <c r="CU12" s="97"/>
      <c r="CV12" s="87" t="s">
        <v>150</v>
      </c>
      <c r="CW12" s="97" t="s">
        <v>150</v>
      </c>
      <c r="CX12" s="97"/>
      <c r="DC12" s="97"/>
      <c r="DD12" s="87" t="s">
        <v>150</v>
      </c>
      <c r="DE12" s="97" t="s">
        <v>150</v>
      </c>
      <c r="DF12" s="97"/>
      <c r="DJ12" s="96"/>
      <c r="DK12" s="86"/>
      <c r="DL12" s="84" t="s">
        <v>150</v>
      </c>
      <c r="DM12" s="97" t="s">
        <v>150</v>
      </c>
      <c r="DN12" s="97"/>
      <c r="DS12" s="97"/>
      <c r="DT12" s="90" t="s">
        <v>150</v>
      </c>
      <c r="DU12" s="84" t="s">
        <v>150</v>
      </c>
      <c r="DW12" s="84" t="s">
        <v>149</v>
      </c>
      <c r="DY12" s="87" t="s">
        <v>150</v>
      </c>
      <c r="DZ12" s="84" t="s">
        <v>150</v>
      </c>
      <c r="EB12" s="86"/>
      <c r="EC12" s="87" t="s">
        <v>149</v>
      </c>
      <c r="ED12" s="97" t="s">
        <v>150</v>
      </c>
      <c r="EF12" s="84" t="s">
        <v>196</v>
      </c>
      <c r="EG12" s="84" t="s">
        <v>150</v>
      </c>
      <c r="EI12" s="96" t="s">
        <v>149</v>
      </c>
      <c r="EJ12" s="97" t="s">
        <v>149</v>
      </c>
      <c r="EK12" s="84" t="s">
        <v>150</v>
      </c>
      <c r="EL12" s="84" t="s">
        <v>149</v>
      </c>
      <c r="EM12" s="84" t="s">
        <v>150</v>
      </c>
      <c r="EN12" s="96"/>
      <c r="EO12" s="96" t="s">
        <v>260</v>
      </c>
      <c r="EP12" s="95"/>
      <c r="EQ12" s="126" t="s">
        <v>149</v>
      </c>
      <c r="ER12" s="135" t="s">
        <v>166</v>
      </c>
      <c r="ES12" s="84" t="s">
        <v>166</v>
      </c>
      <c r="ET12" s="84" t="s">
        <v>166</v>
      </c>
      <c r="EU12" s="86" t="s">
        <v>166</v>
      </c>
      <c r="EV12" s="95" t="s">
        <v>166</v>
      </c>
      <c r="EW12" s="146" t="str">
        <f t="shared" si="0"/>
        <v>Low</v>
      </c>
      <c r="EX12" s="141"/>
      <c r="EY12" s="84" t="s">
        <v>149</v>
      </c>
      <c r="EZ12" s="84" t="s">
        <v>149</v>
      </c>
      <c r="FA12" s="84" t="s">
        <v>150</v>
      </c>
      <c r="FB12" s="86" t="str">
        <f t="shared" si="1"/>
        <v>Partial yes</v>
      </c>
      <c r="FC12" s="84" t="s">
        <v>149</v>
      </c>
      <c r="FD12" s="84" t="s">
        <v>149</v>
      </c>
      <c r="FE12" s="84" t="s">
        <v>149</v>
      </c>
      <c r="FF12" s="84" t="s">
        <v>149</v>
      </c>
      <c r="FG12" s="84" t="s">
        <v>149</v>
      </c>
      <c r="FH12" s="84" t="s">
        <v>150</v>
      </c>
      <c r="FI12" s="84" t="s">
        <v>149</v>
      </c>
      <c r="FJ12" s="84" t="s">
        <v>149</v>
      </c>
      <c r="FK12" s="84" t="s">
        <v>149</v>
      </c>
      <c r="FL12" s="84" t="s">
        <v>149</v>
      </c>
      <c r="FM12" s="84" t="s">
        <v>150</v>
      </c>
      <c r="FN12" s="84" t="s">
        <v>150</v>
      </c>
      <c r="FO12" s="84" t="str">
        <f t="shared" si="2"/>
        <v>Partial yes</v>
      </c>
      <c r="FP12" s="84" t="s">
        <v>149</v>
      </c>
      <c r="FQ12" s="84" t="s">
        <v>149</v>
      </c>
      <c r="FR12" s="84" t="s">
        <v>832</v>
      </c>
      <c r="FS12" s="84" t="str">
        <f t="shared" si="3"/>
        <v>Yes</v>
      </c>
      <c r="FT12" s="84" t="s">
        <v>149</v>
      </c>
      <c r="FU12" s="84" t="s">
        <v>832</v>
      </c>
      <c r="FV12" s="84" t="str">
        <f t="shared" si="4"/>
        <v>Yes</v>
      </c>
      <c r="FW12" s="84" t="str">
        <f t="shared" si="5"/>
        <v>Yes</v>
      </c>
      <c r="FX12" s="84" t="str">
        <f t="shared" si="29"/>
        <v>Yes</v>
      </c>
      <c r="FY12" s="84" t="str">
        <f t="shared" si="6"/>
        <v>Yes</v>
      </c>
      <c r="FZ12" s="84" t="str">
        <f t="shared" si="7"/>
        <v>Yes</v>
      </c>
      <c r="GA12" s="84" t="s">
        <v>149</v>
      </c>
      <c r="GB12" s="84" t="str">
        <f>GA12</f>
        <v>Yes</v>
      </c>
      <c r="GC12" s="84" t="s">
        <v>149</v>
      </c>
      <c r="GD12" s="84" t="s">
        <v>149</v>
      </c>
      <c r="GE12" s="84" t="s">
        <v>149</v>
      </c>
      <c r="GF12" s="84" t="str">
        <f t="shared" si="31"/>
        <v>Yes</v>
      </c>
      <c r="GG12" s="84" t="s">
        <v>149</v>
      </c>
      <c r="GH12" s="84" t="str">
        <f t="shared" si="9"/>
        <v>Yes</v>
      </c>
      <c r="GI12" s="84" t="s">
        <v>149</v>
      </c>
      <c r="GJ12" s="84" t="s">
        <v>832</v>
      </c>
      <c r="GK12" s="84" t="str">
        <f t="shared" si="10"/>
        <v>Yes</v>
      </c>
      <c r="GL12" s="84" t="s">
        <v>149</v>
      </c>
      <c r="GM12" s="84" t="s">
        <v>149</v>
      </c>
      <c r="GN12" s="84" t="str">
        <f t="shared" si="11"/>
        <v>Yes</v>
      </c>
      <c r="GO12" s="84" t="s">
        <v>149</v>
      </c>
      <c r="GP12" s="84" t="s">
        <v>832</v>
      </c>
      <c r="GQ12" s="84" t="str">
        <f t="shared" si="12"/>
        <v>Yes</v>
      </c>
      <c r="GR12" s="84" t="s">
        <v>149</v>
      </c>
      <c r="GS12" s="84" t="str">
        <f t="shared" si="13"/>
        <v>Yes</v>
      </c>
      <c r="GT12" s="84" t="s">
        <v>149</v>
      </c>
      <c r="GU12" s="84" t="s">
        <v>149</v>
      </c>
      <c r="GV12" s="84" t="s">
        <v>149</v>
      </c>
      <c r="GW12" s="84" t="s">
        <v>149</v>
      </c>
      <c r="GX12" s="84" t="s">
        <v>150</v>
      </c>
      <c r="GY12" s="84" t="s">
        <v>149</v>
      </c>
      <c r="GZ12" s="84" t="s">
        <v>149</v>
      </c>
      <c r="HA12" s="84" t="str">
        <f t="shared" si="14"/>
        <v>Partial yes</v>
      </c>
      <c r="HB12" s="84" t="s">
        <v>150</v>
      </c>
      <c r="HC12" s="84" t="str">
        <f t="shared" si="15"/>
        <v>No</v>
      </c>
      <c r="HD12" s="84" t="s">
        <v>149</v>
      </c>
      <c r="HE12" s="84" t="str">
        <f t="shared" si="32"/>
        <v>Yes</v>
      </c>
      <c r="HF12" s="84" t="s">
        <v>832</v>
      </c>
      <c r="HG12" s="84" t="s">
        <v>832</v>
      </c>
      <c r="HH12" s="84" t="s">
        <v>832</v>
      </c>
      <c r="HI12" s="84" t="s">
        <v>832</v>
      </c>
      <c r="HJ12" s="84" t="s">
        <v>149</v>
      </c>
      <c r="HK12" s="84" t="s">
        <v>832</v>
      </c>
      <c r="HL12" s="84" t="s">
        <v>832</v>
      </c>
      <c r="HM12" s="84" t="s">
        <v>149</v>
      </c>
      <c r="HN12" s="84" t="str">
        <f t="shared" si="16"/>
        <v>Yes</v>
      </c>
      <c r="HO12" s="84" t="s">
        <v>149</v>
      </c>
      <c r="HP12" s="84" t="str">
        <f t="shared" si="17"/>
        <v>Yes</v>
      </c>
      <c r="HQ12" s="84" t="s">
        <v>149</v>
      </c>
      <c r="HR12" s="84" t="str">
        <f t="shared" si="18"/>
        <v>Yes</v>
      </c>
      <c r="HS12" s="84" t="s">
        <v>149</v>
      </c>
      <c r="HT12" s="84" t="str">
        <f t="shared" si="19"/>
        <v>Yes</v>
      </c>
      <c r="HU12" s="84" t="s">
        <v>149</v>
      </c>
      <c r="HV12" s="84" t="s">
        <v>149</v>
      </c>
      <c r="HW12" s="100" t="s">
        <v>832</v>
      </c>
      <c r="HX12" s="84" t="s">
        <v>149</v>
      </c>
      <c r="HY12" s="84" t="s">
        <v>149</v>
      </c>
      <c r="HZ12" s="84" t="str">
        <f t="shared" si="20"/>
        <v>Partial yes</v>
      </c>
      <c r="IA12" s="84" t="s">
        <v>150</v>
      </c>
      <c r="IB12" s="84" t="str">
        <f t="shared" si="21"/>
        <v>No</v>
      </c>
      <c r="IC12" s="84" t="s">
        <v>149</v>
      </c>
      <c r="ID12" s="84" t="str">
        <f t="shared" si="22"/>
        <v>Yes</v>
      </c>
      <c r="IE12" s="84" t="s">
        <v>832</v>
      </c>
      <c r="IF12" s="84" t="s">
        <v>832</v>
      </c>
      <c r="IG12" s="84" t="s">
        <v>832</v>
      </c>
      <c r="IH12" s="84" t="s">
        <v>832</v>
      </c>
      <c r="II12" s="84" t="s">
        <v>832</v>
      </c>
      <c r="IJ12" s="84" t="s">
        <v>149</v>
      </c>
      <c r="IK12" s="84" t="s">
        <v>149</v>
      </c>
      <c r="IL12" s="84" t="s">
        <v>149</v>
      </c>
      <c r="IM12" s="84" t="s">
        <v>150</v>
      </c>
      <c r="IN12" s="84" t="s">
        <v>149</v>
      </c>
      <c r="IP12" s="84" t="s">
        <v>150</v>
      </c>
      <c r="IR12" s="84" t="str">
        <f t="shared" si="23"/>
        <v>Partial yes</v>
      </c>
      <c r="IS12" s="84" t="s">
        <v>149</v>
      </c>
      <c r="IT12" s="84" t="s">
        <v>149</v>
      </c>
      <c r="IU12" s="84" t="s">
        <v>149</v>
      </c>
      <c r="IV12" s="84" t="str">
        <f t="shared" si="24"/>
        <v>Yes</v>
      </c>
      <c r="IW12" s="84" t="s">
        <v>149</v>
      </c>
      <c r="IX12" s="84" t="s">
        <v>149</v>
      </c>
      <c r="IY12" s="84" t="str">
        <f t="shared" si="25"/>
        <v>Yes</v>
      </c>
      <c r="IZ12" s="84" t="s">
        <v>149</v>
      </c>
      <c r="JA12" s="84" t="s">
        <v>149</v>
      </c>
      <c r="JB12" s="84" t="str">
        <f t="shared" si="26"/>
        <v>Yes</v>
      </c>
      <c r="JC12" s="84" t="s">
        <v>150</v>
      </c>
      <c r="JD12" s="84" t="s">
        <v>832</v>
      </c>
      <c r="JE12" s="84" t="str">
        <f t="shared" si="27"/>
        <v>No</v>
      </c>
      <c r="JF12" s="84" t="s">
        <v>149</v>
      </c>
      <c r="JG12" s="84" t="s">
        <v>149</v>
      </c>
      <c r="JH12" s="84" t="s">
        <v>150</v>
      </c>
    </row>
    <row r="13" spans="1:268" s="84" customFormat="1" ht="16" x14ac:dyDescent="0.25">
      <c r="A13" s="83">
        <v>49</v>
      </c>
      <c r="B13" s="84" t="s">
        <v>469</v>
      </c>
      <c r="C13" s="84" t="s">
        <v>470</v>
      </c>
      <c r="D13" s="84" t="s">
        <v>178</v>
      </c>
      <c r="E13" s="85">
        <v>45665</v>
      </c>
      <c r="F13" s="84" t="s">
        <v>471</v>
      </c>
      <c r="G13" s="84" t="s">
        <v>149</v>
      </c>
      <c r="H13" s="84" t="s">
        <v>149</v>
      </c>
      <c r="I13" s="84" t="s">
        <v>180</v>
      </c>
      <c r="J13" s="84" t="s">
        <v>494</v>
      </c>
      <c r="K13" s="86" t="s">
        <v>669</v>
      </c>
      <c r="L13" s="84" t="s">
        <v>165</v>
      </c>
      <c r="M13" s="86" t="s">
        <v>670</v>
      </c>
      <c r="N13" s="84" t="s">
        <v>156</v>
      </c>
      <c r="O13" s="86" t="s">
        <v>671</v>
      </c>
      <c r="P13" s="84" t="s">
        <v>185</v>
      </c>
      <c r="Q13" s="84" t="s">
        <v>673</v>
      </c>
      <c r="R13" s="88">
        <v>3</v>
      </c>
      <c r="S13" s="84" t="s">
        <v>672</v>
      </c>
      <c r="T13" s="88" t="s">
        <v>149</v>
      </c>
      <c r="U13" s="84" t="s">
        <v>150</v>
      </c>
      <c r="V13" s="84" t="s">
        <v>149</v>
      </c>
      <c r="W13" s="84" t="s">
        <v>149</v>
      </c>
      <c r="X13" s="84" t="s">
        <v>150</v>
      </c>
      <c r="Y13" s="84" t="s">
        <v>150</v>
      </c>
      <c r="Z13" s="84" t="s">
        <v>150</v>
      </c>
      <c r="AA13" s="89"/>
      <c r="AB13" s="84" t="s">
        <v>149</v>
      </c>
      <c r="AC13" s="84" t="s">
        <v>150</v>
      </c>
      <c r="AD13" s="84" t="s">
        <v>150</v>
      </c>
      <c r="AE13" s="84" t="s">
        <v>150</v>
      </c>
      <c r="AF13" s="89"/>
      <c r="AH13" s="90" t="s">
        <v>188</v>
      </c>
      <c r="AI13" s="146" t="s">
        <v>149</v>
      </c>
      <c r="AJ13" s="156" t="s">
        <v>149</v>
      </c>
      <c r="AK13" s="157" t="s">
        <v>660</v>
      </c>
      <c r="AL13" s="158">
        <v>45433</v>
      </c>
      <c r="AM13" s="164" t="s">
        <v>150</v>
      </c>
      <c r="AQ13" s="86"/>
      <c r="AR13" s="91"/>
      <c r="AS13" s="84" t="s">
        <v>149</v>
      </c>
      <c r="AT13" s="84" t="s">
        <v>149</v>
      </c>
      <c r="AU13" s="84" t="s">
        <v>149</v>
      </c>
      <c r="AV13" s="84" t="s">
        <v>150</v>
      </c>
      <c r="AW13" s="84" t="s">
        <v>150</v>
      </c>
      <c r="AX13" s="84" t="s">
        <v>149</v>
      </c>
      <c r="AY13" s="92" t="s">
        <v>149</v>
      </c>
      <c r="AZ13" s="84" t="s">
        <v>149</v>
      </c>
      <c r="BA13" s="84" t="s">
        <v>149</v>
      </c>
      <c r="BB13" s="84" t="s">
        <v>149</v>
      </c>
      <c r="BC13" s="84" t="s">
        <v>149</v>
      </c>
      <c r="BD13" s="84" t="s">
        <v>149</v>
      </c>
      <c r="BE13" s="84" t="s">
        <v>149</v>
      </c>
      <c r="BF13" s="84" t="s">
        <v>149</v>
      </c>
      <c r="BG13" s="87" t="s">
        <v>149</v>
      </c>
      <c r="BH13" s="84" t="s">
        <v>149</v>
      </c>
      <c r="BI13" s="84" t="s">
        <v>149</v>
      </c>
      <c r="BJ13" s="86" t="s">
        <v>149</v>
      </c>
      <c r="BK13" s="84" t="s">
        <v>149</v>
      </c>
      <c r="BL13" s="84" t="s">
        <v>149</v>
      </c>
      <c r="BM13" s="87" t="s">
        <v>149</v>
      </c>
      <c r="BN13" s="84" t="s">
        <v>149</v>
      </c>
      <c r="BO13" s="84" t="s">
        <v>149</v>
      </c>
      <c r="BP13" s="84" t="s">
        <v>150</v>
      </c>
      <c r="BR13" s="84" t="s">
        <v>191</v>
      </c>
      <c r="BT13" s="87" t="s">
        <v>163</v>
      </c>
      <c r="BU13" s="84" t="s">
        <v>164</v>
      </c>
      <c r="BW13" s="92"/>
      <c r="BX13" s="86" t="s">
        <v>165</v>
      </c>
      <c r="BY13" s="84" t="s">
        <v>149</v>
      </c>
      <c r="BZ13" s="93" t="s">
        <v>605</v>
      </c>
      <c r="CA13" s="94">
        <v>2470</v>
      </c>
      <c r="CB13" s="92">
        <v>9</v>
      </c>
      <c r="CC13" s="84">
        <v>9</v>
      </c>
      <c r="CD13" s="95">
        <v>0</v>
      </c>
      <c r="CE13" s="85">
        <v>45406</v>
      </c>
      <c r="CF13" s="84" t="s">
        <v>150</v>
      </c>
      <c r="CH13" s="86"/>
      <c r="CI13" s="84" t="s">
        <v>150</v>
      </c>
      <c r="CJ13" s="92"/>
      <c r="CK13" s="84" t="s">
        <v>149</v>
      </c>
      <c r="CL13" s="92" t="s">
        <v>192</v>
      </c>
      <c r="CM13" s="92" t="s">
        <v>150</v>
      </c>
      <c r="CN13" s="96" t="s">
        <v>150</v>
      </c>
      <c r="CU13" s="97"/>
      <c r="CV13" s="87" t="s">
        <v>150</v>
      </c>
      <c r="CW13" s="97" t="s">
        <v>150</v>
      </c>
      <c r="CX13" s="97"/>
      <c r="DC13" s="97"/>
      <c r="DD13" s="87" t="s">
        <v>150</v>
      </c>
      <c r="DE13" s="97" t="s">
        <v>150</v>
      </c>
      <c r="DF13" s="97"/>
      <c r="DJ13" s="96"/>
      <c r="DK13" s="86"/>
      <c r="DL13" s="84" t="s">
        <v>150</v>
      </c>
      <c r="DM13" s="97" t="s">
        <v>150</v>
      </c>
      <c r="DN13" s="97"/>
      <c r="DS13" s="97"/>
      <c r="DT13" s="90" t="s">
        <v>150</v>
      </c>
      <c r="DU13" s="84" t="s">
        <v>149</v>
      </c>
      <c r="DV13" s="84" t="s">
        <v>681</v>
      </c>
      <c r="DX13" s="84" t="s">
        <v>837</v>
      </c>
      <c r="DY13" s="87" t="s">
        <v>150</v>
      </c>
      <c r="DZ13" s="84" t="s">
        <v>188</v>
      </c>
      <c r="EB13" s="86"/>
      <c r="EC13" s="87" t="s">
        <v>149</v>
      </c>
      <c r="ED13" s="97" t="s">
        <v>149</v>
      </c>
      <c r="EE13" s="84" t="s">
        <v>674</v>
      </c>
      <c r="EF13" s="84" t="s">
        <v>196</v>
      </c>
      <c r="EG13" s="84" t="s">
        <v>149</v>
      </c>
      <c r="EH13" s="84" t="s">
        <v>675</v>
      </c>
      <c r="EI13" s="96" t="s">
        <v>149</v>
      </c>
      <c r="EJ13" s="97" t="s">
        <v>149</v>
      </c>
      <c r="EK13" s="84" t="s">
        <v>150</v>
      </c>
      <c r="EL13" s="84" t="s">
        <v>149</v>
      </c>
      <c r="EM13" s="84" t="s">
        <v>150</v>
      </c>
      <c r="EN13" s="96"/>
      <c r="EO13" s="96" t="s">
        <v>676</v>
      </c>
      <c r="EP13" s="95"/>
      <c r="EQ13" s="126" t="s">
        <v>149</v>
      </c>
      <c r="ER13" s="135" t="s">
        <v>166</v>
      </c>
      <c r="ES13" s="84" t="s">
        <v>166</v>
      </c>
      <c r="ET13" s="84" t="s">
        <v>166</v>
      </c>
      <c r="EU13" s="86" t="s">
        <v>166</v>
      </c>
      <c r="EV13" s="95" t="s">
        <v>166</v>
      </c>
      <c r="EW13" s="146" t="str">
        <f t="shared" si="0"/>
        <v>Low</v>
      </c>
      <c r="EX13" s="141"/>
      <c r="EY13" s="104" t="s">
        <v>150</v>
      </c>
      <c r="EZ13" s="104" t="s">
        <v>150</v>
      </c>
      <c r="FA13" s="104" t="s">
        <v>150</v>
      </c>
      <c r="FB13" s="86" t="str">
        <f t="shared" si="1"/>
        <v>No</v>
      </c>
      <c r="FC13" s="84" t="s">
        <v>149</v>
      </c>
      <c r="FD13" s="104" t="s">
        <v>149</v>
      </c>
      <c r="FE13" s="104" t="s">
        <v>149</v>
      </c>
      <c r="FF13" s="104" t="s">
        <v>149</v>
      </c>
      <c r="FG13" s="104" t="s">
        <v>149</v>
      </c>
      <c r="FH13" s="104" t="s">
        <v>149</v>
      </c>
      <c r="FI13" s="104" t="s">
        <v>149</v>
      </c>
      <c r="FJ13" s="104" t="s">
        <v>149</v>
      </c>
      <c r="FK13" s="104" t="s">
        <v>149</v>
      </c>
      <c r="FL13" s="104" t="s">
        <v>149</v>
      </c>
      <c r="FM13" s="104" t="s">
        <v>150</v>
      </c>
      <c r="FN13" s="104" t="s">
        <v>149</v>
      </c>
      <c r="FO13" s="84" t="str">
        <f t="shared" si="2"/>
        <v>Partial yes</v>
      </c>
      <c r="FP13" s="84" t="s">
        <v>149</v>
      </c>
      <c r="FQ13" s="84" t="s">
        <v>150</v>
      </c>
      <c r="FR13" s="84" t="s">
        <v>832</v>
      </c>
      <c r="FS13" s="84" t="str">
        <f t="shared" si="3"/>
        <v>Partial yes</v>
      </c>
      <c r="FT13" s="84" t="s">
        <v>149</v>
      </c>
      <c r="FU13" s="84" t="s">
        <v>832</v>
      </c>
      <c r="FV13" s="84" t="str">
        <f t="shared" si="4"/>
        <v>Yes</v>
      </c>
      <c r="FW13" s="84" t="str">
        <f t="shared" si="5"/>
        <v>Yes</v>
      </c>
      <c r="FX13" s="84" t="str">
        <f t="shared" si="29"/>
        <v>Yes</v>
      </c>
      <c r="FY13" s="84" t="str">
        <f t="shared" si="6"/>
        <v>Yes</v>
      </c>
      <c r="FZ13" s="84" t="str">
        <f t="shared" si="7"/>
        <v>Yes</v>
      </c>
      <c r="GA13" s="84" t="s">
        <v>149</v>
      </c>
      <c r="GB13" s="84" t="str">
        <f>GA13</f>
        <v>Yes</v>
      </c>
      <c r="GC13" s="84" t="s">
        <v>149</v>
      </c>
      <c r="GD13" s="84" t="str">
        <f t="shared" ref="GD13:GD46" si="33">GC13</f>
        <v>Yes</v>
      </c>
      <c r="GE13" s="84" t="s">
        <v>149</v>
      </c>
      <c r="GF13" s="84" t="str">
        <f t="shared" si="31"/>
        <v>Yes</v>
      </c>
      <c r="GG13" s="84" t="s">
        <v>149</v>
      </c>
      <c r="GH13" s="84" t="str">
        <f t="shared" si="9"/>
        <v>Yes</v>
      </c>
      <c r="GI13" s="84" t="s">
        <v>149</v>
      </c>
      <c r="GJ13" s="84" t="s">
        <v>832</v>
      </c>
      <c r="GK13" s="84" t="str">
        <f t="shared" si="10"/>
        <v>Yes</v>
      </c>
      <c r="GL13" s="84" t="s">
        <v>149</v>
      </c>
      <c r="GM13" s="84" t="s">
        <v>149</v>
      </c>
      <c r="GN13" s="84" t="str">
        <f t="shared" si="11"/>
        <v>Yes</v>
      </c>
      <c r="GO13" s="84" t="s">
        <v>149</v>
      </c>
      <c r="GP13" s="84" t="s">
        <v>832</v>
      </c>
      <c r="GQ13" s="84" t="str">
        <f t="shared" si="12"/>
        <v>Yes</v>
      </c>
      <c r="GR13" s="84" t="s">
        <v>149</v>
      </c>
      <c r="GS13" s="84" t="str">
        <f t="shared" si="13"/>
        <v>Yes</v>
      </c>
      <c r="GT13" s="84" t="s">
        <v>149</v>
      </c>
      <c r="GU13" s="84" t="s">
        <v>149</v>
      </c>
      <c r="GV13" s="84" t="s">
        <v>149</v>
      </c>
      <c r="GW13" s="84" t="s">
        <v>149</v>
      </c>
      <c r="GX13" s="84" t="s">
        <v>150</v>
      </c>
      <c r="GY13" s="84" t="s">
        <v>149</v>
      </c>
      <c r="GZ13" s="84" t="s">
        <v>149</v>
      </c>
      <c r="HA13" s="84" t="str">
        <f t="shared" si="14"/>
        <v>Partial yes</v>
      </c>
      <c r="HB13" s="84" t="s">
        <v>149</v>
      </c>
      <c r="HC13" s="84" t="str">
        <f t="shared" si="15"/>
        <v>Yes</v>
      </c>
      <c r="HD13" s="84" t="s">
        <v>149</v>
      </c>
      <c r="HE13" s="84" t="str">
        <f t="shared" si="32"/>
        <v>Yes</v>
      </c>
      <c r="HF13" s="84" t="s">
        <v>832</v>
      </c>
      <c r="HG13" s="84" t="s">
        <v>832</v>
      </c>
      <c r="HH13" s="84" t="s">
        <v>832</v>
      </c>
      <c r="HI13" s="84" t="s">
        <v>832</v>
      </c>
      <c r="HJ13" s="84" t="s">
        <v>149</v>
      </c>
      <c r="HK13" s="84" t="s">
        <v>832</v>
      </c>
      <c r="HL13" s="84" t="s">
        <v>832</v>
      </c>
      <c r="HM13" s="84" t="s">
        <v>149</v>
      </c>
      <c r="HN13" s="84" t="str">
        <f t="shared" si="16"/>
        <v>Yes</v>
      </c>
      <c r="HO13" s="84" t="s">
        <v>149</v>
      </c>
      <c r="HP13" s="84" t="str">
        <f t="shared" si="17"/>
        <v>Yes</v>
      </c>
      <c r="HQ13" s="84" t="s">
        <v>149</v>
      </c>
      <c r="HR13" s="84" t="str">
        <f t="shared" si="18"/>
        <v>Yes</v>
      </c>
      <c r="HS13" s="84" t="s">
        <v>149</v>
      </c>
      <c r="HT13" s="84" t="str">
        <f t="shared" si="19"/>
        <v>Yes</v>
      </c>
      <c r="HU13" s="84" t="s">
        <v>149</v>
      </c>
      <c r="HV13" s="84" t="s">
        <v>149</v>
      </c>
      <c r="HW13" s="100" t="s">
        <v>832</v>
      </c>
      <c r="HX13" s="84" t="s">
        <v>149</v>
      </c>
      <c r="HY13" s="84" t="s">
        <v>149</v>
      </c>
      <c r="HZ13" s="84" t="str">
        <f t="shared" si="20"/>
        <v>Partial yes</v>
      </c>
      <c r="IA13" s="84" t="s">
        <v>149</v>
      </c>
      <c r="IB13" s="84" t="str">
        <f t="shared" si="21"/>
        <v>Yes</v>
      </c>
      <c r="IC13" s="84" t="s">
        <v>149</v>
      </c>
      <c r="ID13" s="84" t="str">
        <f t="shared" si="22"/>
        <v>Yes</v>
      </c>
      <c r="IE13" s="84" t="s">
        <v>832</v>
      </c>
      <c r="IF13" s="84" t="s">
        <v>832</v>
      </c>
      <c r="IG13" s="84" t="s">
        <v>832</v>
      </c>
      <c r="IH13" s="84" t="s">
        <v>832</v>
      </c>
      <c r="II13" s="84" t="s">
        <v>832</v>
      </c>
      <c r="IJ13" s="104" t="s">
        <v>149</v>
      </c>
      <c r="IK13" s="104" t="s">
        <v>149</v>
      </c>
      <c r="IL13" s="104" t="s">
        <v>149</v>
      </c>
      <c r="IM13" s="104" t="s">
        <v>150</v>
      </c>
      <c r="IN13" s="104" t="s">
        <v>149</v>
      </c>
      <c r="IP13" s="84" t="s">
        <v>150</v>
      </c>
      <c r="IR13" s="84" t="str">
        <f t="shared" si="23"/>
        <v>Partial yes</v>
      </c>
      <c r="IS13" s="104" t="s">
        <v>149</v>
      </c>
      <c r="IT13" s="104" t="s">
        <v>149</v>
      </c>
      <c r="IU13" s="104" t="s">
        <v>150</v>
      </c>
      <c r="IV13" s="84" t="str">
        <f t="shared" si="24"/>
        <v>Partial yes</v>
      </c>
      <c r="IW13" s="84" t="s">
        <v>149</v>
      </c>
      <c r="IX13" s="84" t="s">
        <v>149</v>
      </c>
      <c r="IY13" s="84" t="str">
        <f t="shared" si="25"/>
        <v>Yes</v>
      </c>
      <c r="IZ13" s="84" t="s">
        <v>149</v>
      </c>
      <c r="JA13" s="84" t="s">
        <v>149</v>
      </c>
      <c r="JB13" s="84" t="str">
        <f t="shared" si="26"/>
        <v>Yes</v>
      </c>
      <c r="JC13" s="84" t="s">
        <v>149</v>
      </c>
      <c r="JD13" s="84" t="s">
        <v>832</v>
      </c>
      <c r="JE13" s="84" t="str">
        <f t="shared" si="27"/>
        <v>Yes</v>
      </c>
      <c r="JF13" s="84" t="s">
        <v>149</v>
      </c>
      <c r="JG13" s="84" t="str">
        <f>JF13</f>
        <v>Yes</v>
      </c>
      <c r="JH13" s="51" t="s">
        <v>150</v>
      </c>
    </row>
    <row r="14" spans="1:268" s="84" customFormat="1" ht="16" x14ac:dyDescent="0.25">
      <c r="A14" s="83">
        <v>18</v>
      </c>
      <c r="B14" s="84" t="s">
        <v>328</v>
      </c>
      <c r="C14" s="84" t="s">
        <v>329</v>
      </c>
      <c r="D14" s="84" t="s">
        <v>330</v>
      </c>
      <c r="E14" s="85">
        <v>44462</v>
      </c>
      <c r="F14" s="84" t="s">
        <v>331</v>
      </c>
      <c r="G14" s="84" t="s">
        <v>149</v>
      </c>
      <c r="H14" s="84" t="s">
        <v>150</v>
      </c>
      <c r="I14" s="84" t="s">
        <v>151</v>
      </c>
      <c r="J14" s="84" t="s">
        <v>202</v>
      </c>
      <c r="K14" s="86" t="s">
        <v>203</v>
      </c>
      <c r="L14" s="84" t="s">
        <v>154</v>
      </c>
      <c r="M14" s="86" t="s">
        <v>332</v>
      </c>
      <c r="N14" s="84" t="s">
        <v>717</v>
      </c>
      <c r="O14" s="86" t="s">
        <v>333</v>
      </c>
      <c r="P14" s="84" t="s">
        <v>185</v>
      </c>
      <c r="Q14" s="84" t="s">
        <v>206</v>
      </c>
      <c r="R14" s="88">
        <v>11</v>
      </c>
      <c r="S14" s="84" t="s">
        <v>334</v>
      </c>
      <c r="T14" s="88" t="s">
        <v>149</v>
      </c>
      <c r="U14" s="84" t="s">
        <v>149</v>
      </c>
      <c r="V14" s="84" t="s">
        <v>149</v>
      </c>
      <c r="W14" s="84" t="s">
        <v>150</v>
      </c>
      <c r="X14" s="84" t="s">
        <v>149</v>
      </c>
      <c r="Y14" s="84" t="s">
        <v>150</v>
      </c>
      <c r="Z14" s="84" t="s">
        <v>150</v>
      </c>
      <c r="AA14" s="89"/>
      <c r="AB14" s="84" t="s">
        <v>149</v>
      </c>
      <c r="AC14" s="84" t="s">
        <v>149</v>
      </c>
      <c r="AD14" s="84" t="s">
        <v>149</v>
      </c>
      <c r="AE14" s="84" t="s">
        <v>150</v>
      </c>
      <c r="AF14" s="89"/>
      <c r="AH14" s="90" t="s">
        <v>188</v>
      </c>
      <c r="AI14" s="146" t="s">
        <v>149</v>
      </c>
      <c r="AJ14" s="87" t="s">
        <v>150</v>
      </c>
      <c r="AL14" s="92"/>
      <c r="AM14" s="84" t="s">
        <v>150</v>
      </c>
      <c r="AQ14" s="86"/>
      <c r="AR14" s="91" t="s">
        <v>335</v>
      </c>
      <c r="AS14" s="84" t="s">
        <v>149</v>
      </c>
      <c r="AT14" s="84" t="s">
        <v>149</v>
      </c>
      <c r="AU14" s="84" t="s">
        <v>149</v>
      </c>
      <c r="AV14" s="84" t="s">
        <v>150</v>
      </c>
      <c r="AW14" s="84" t="s">
        <v>150</v>
      </c>
      <c r="AX14" s="84" t="s">
        <v>149</v>
      </c>
      <c r="AY14" s="92" t="s">
        <v>149</v>
      </c>
      <c r="AZ14" s="84" t="s">
        <v>149</v>
      </c>
      <c r="BA14" s="84" t="s">
        <v>149</v>
      </c>
      <c r="BB14" s="84" t="s">
        <v>150</v>
      </c>
      <c r="BC14" s="84" t="s">
        <v>149</v>
      </c>
      <c r="BD14" s="84" t="s">
        <v>150</v>
      </c>
      <c r="BE14" s="84" t="s">
        <v>150</v>
      </c>
      <c r="BF14" s="84" t="s">
        <v>149</v>
      </c>
      <c r="BG14" s="87" t="s">
        <v>149</v>
      </c>
      <c r="BH14" s="84" t="s">
        <v>149</v>
      </c>
      <c r="BI14" s="84" t="s">
        <v>149</v>
      </c>
      <c r="BJ14" s="86" t="s">
        <v>149</v>
      </c>
      <c r="BK14" s="84" t="s">
        <v>149</v>
      </c>
      <c r="BL14" s="84" t="s">
        <v>149</v>
      </c>
      <c r="BM14" s="87" t="s">
        <v>149</v>
      </c>
      <c r="BN14" s="84" t="s">
        <v>149</v>
      </c>
      <c r="BO14" s="84" t="s">
        <v>149</v>
      </c>
      <c r="BP14" s="84" t="s">
        <v>149</v>
      </c>
      <c r="BR14" s="84" t="s">
        <v>191</v>
      </c>
      <c r="BT14" s="87" t="s">
        <v>245</v>
      </c>
      <c r="BU14" s="84" t="s">
        <v>165</v>
      </c>
      <c r="BW14" s="92" t="s">
        <v>246</v>
      </c>
      <c r="BX14" s="86" t="s">
        <v>336</v>
      </c>
      <c r="BY14" s="84" t="s">
        <v>149</v>
      </c>
      <c r="BZ14" s="93"/>
      <c r="CA14" s="94">
        <v>44878</v>
      </c>
      <c r="CB14" s="92">
        <v>47</v>
      </c>
      <c r="CC14" s="84">
        <v>47</v>
      </c>
      <c r="CD14" s="95">
        <v>0</v>
      </c>
      <c r="CE14" s="85">
        <v>44398</v>
      </c>
      <c r="CF14" s="84" t="s">
        <v>150</v>
      </c>
      <c r="CH14" s="86"/>
      <c r="CI14" s="84" t="s">
        <v>150</v>
      </c>
      <c r="CJ14" s="92"/>
      <c r="CK14" s="84" t="s">
        <v>149</v>
      </c>
      <c r="CL14" s="92" t="s">
        <v>307</v>
      </c>
      <c r="CM14" s="92" t="s">
        <v>150</v>
      </c>
      <c r="CN14" s="96" t="s">
        <v>150</v>
      </c>
      <c r="CU14" s="97"/>
      <c r="CV14" s="87" t="s">
        <v>150</v>
      </c>
      <c r="CW14" s="97" t="s">
        <v>149</v>
      </c>
      <c r="CX14" s="97" t="s">
        <v>149</v>
      </c>
      <c r="CY14" s="84" t="s">
        <v>193</v>
      </c>
      <c r="DA14" s="84" t="s">
        <v>150</v>
      </c>
      <c r="DC14" s="97" t="s">
        <v>337</v>
      </c>
      <c r="DD14" s="87" t="s">
        <v>150</v>
      </c>
      <c r="DE14" s="97" t="s">
        <v>150</v>
      </c>
      <c r="DF14" s="97"/>
      <c r="DJ14" s="96"/>
      <c r="DK14" s="86"/>
      <c r="DL14" s="84" t="s">
        <v>150</v>
      </c>
      <c r="DM14" s="97" t="s">
        <v>150</v>
      </c>
      <c r="DN14" s="97"/>
      <c r="DS14" s="97"/>
      <c r="DT14" s="90" t="s">
        <v>150</v>
      </c>
      <c r="DU14" s="84" t="s">
        <v>149</v>
      </c>
      <c r="DV14" s="84" t="s">
        <v>221</v>
      </c>
      <c r="DX14" s="84" t="s">
        <v>338</v>
      </c>
      <c r="DY14" s="87" t="s">
        <v>149</v>
      </c>
      <c r="DZ14" s="84" t="s">
        <v>188</v>
      </c>
      <c r="EB14" s="86" t="s">
        <v>339</v>
      </c>
      <c r="EC14" s="87" t="s">
        <v>149</v>
      </c>
      <c r="ED14" s="97" t="s">
        <v>149</v>
      </c>
      <c r="EE14" s="84" t="s">
        <v>340</v>
      </c>
      <c r="EF14" s="84" t="s">
        <v>150</v>
      </c>
      <c r="EG14" s="84" t="s">
        <v>150</v>
      </c>
      <c r="EI14" s="96" t="s">
        <v>149</v>
      </c>
      <c r="EJ14" s="97" t="s">
        <v>149</v>
      </c>
      <c r="EK14" s="84" t="s">
        <v>150</v>
      </c>
      <c r="EL14" s="84" t="s">
        <v>149</v>
      </c>
      <c r="EM14" s="84" t="s">
        <v>150</v>
      </c>
      <c r="EN14" s="96"/>
      <c r="EO14" s="96" t="s">
        <v>724</v>
      </c>
      <c r="EP14" s="125"/>
      <c r="EQ14" s="126" t="s">
        <v>149</v>
      </c>
      <c r="ER14" s="134" t="s">
        <v>171</v>
      </c>
      <c r="ES14" s="98" t="s">
        <v>166</v>
      </c>
      <c r="ET14" s="98" t="s">
        <v>166</v>
      </c>
      <c r="EU14" s="99" t="s">
        <v>171</v>
      </c>
      <c r="EV14" s="144" t="s">
        <v>166</v>
      </c>
      <c r="EW14" s="42" t="str">
        <f t="shared" si="0"/>
        <v>High</v>
      </c>
      <c r="EX14" s="141"/>
      <c r="EY14" s="84" t="s">
        <v>149</v>
      </c>
      <c r="EZ14" s="84" t="s">
        <v>149</v>
      </c>
      <c r="FA14" s="84" t="s">
        <v>150</v>
      </c>
      <c r="FB14" s="86" t="str">
        <f t="shared" si="1"/>
        <v>Partial yes</v>
      </c>
      <c r="FC14" s="84" t="s">
        <v>149</v>
      </c>
      <c r="FD14" s="84" t="s">
        <v>149</v>
      </c>
      <c r="FE14" s="84" t="s">
        <v>149</v>
      </c>
      <c r="FF14" s="84" t="s">
        <v>149</v>
      </c>
      <c r="FG14" s="84" t="s">
        <v>149</v>
      </c>
      <c r="FH14" s="84" t="s">
        <v>149</v>
      </c>
      <c r="FI14" s="84" t="s">
        <v>150</v>
      </c>
      <c r="FJ14" s="84" t="s">
        <v>149</v>
      </c>
      <c r="FK14" s="84" t="s">
        <v>150</v>
      </c>
      <c r="FL14" s="84" t="s">
        <v>149</v>
      </c>
      <c r="FM14" s="84" t="s">
        <v>149</v>
      </c>
      <c r="FN14" s="84" t="s">
        <v>150</v>
      </c>
      <c r="FO14" s="84" t="str">
        <f t="shared" si="2"/>
        <v>Partial yes</v>
      </c>
      <c r="FP14" s="84" t="s">
        <v>149</v>
      </c>
      <c r="FQ14" s="84" t="s">
        <v>149</v>
      </c>
      <c r="FR14" s="84" t="s">
        <v>832</v>
      </c>
      <c r="FS14" s="84" t="str">
        <f t="shared" si="3"/>
        <v>Yes</v>
      </c>
      <c r="FT14" s="84" t="s">
        <v>149</v>
      </c>
      <c r="FU14" s="84" t="s">
        <v>832</v>
      </c>
      <c r="FV14" s="84" t="str">
        <f t="shared" si="4"/>
        <v>Yes</v>
      </c>
      <c r="FW14" s="84" t="str">
        <f t="shared" si="5"/>
        <v>Yes</v>
      </c>
      <c r="FX14" s="84" t="str">
        <f t="shared" si="29"/>
        <v>Yes</v>
      </c>
      <c r="FY14" s="84" t="s">
        <v>150</v>
      </c>
      <c r="FZ14" s="84" t="str">
        <f t="shared" si="7"/>
        <v>Partial yes</v>
      </c>
      <c r="GA14" s="84" t="s">
        <v>149</v>
      </c>
      <c r="GB14" s="84" t="s">
        <v>149</v>
      </c>
      <c r="GC14" s="84" t="s">
        <v>149</v>
      </c>
      <c r="GD14" s="84" t="str">
        <f t="shared" si="33"/>
        <v>Yes</v>
      </c>
      <c r="GE14" s="84" t="s">
        <v>149</v>
      </c>
      <c r="GF14" s="84" t="str">
        <f t="shared" si="31"/>
        <v>Yes</v>
      </c>
      <c r="GG14" s="84" t="s">
        <v>149</v>
      </c>
      <c r="GH14" s="84" t="str">
        <f t="shared" si="9"/>
        <v>Yes</v>
      </c>
      <c r="GI14" s="84" t="s">
        <v>149</v>
      </c>
      <c r="GJ14" s="84" t="s">
        <v>832</v>
      </c>
      <c r="GK14" s="84" t="str">
        <f t="shared" si="10"/>
        <v>Yes</v>
      </c>
      <c r="GL14" s="84" t="s">
        <v>149</v>
      </c>
      <c r="GM14" s="84" t="s">
        <v>149</v>
      </c>
      <c r="GN14" s="84" t="s">
        <v>149</v>
      </c>
      <c r="GO14" s="84" t="s">
        <v>149</v>
      </c>
      <c r="GP14" s="84" t="s">
        <v>832</v>
      </c>
      <c r="GQ14" s="84" t="str">
        <f t="shared" si="12"/>
        <v>Yes</v>
      </c>
      <c r="GR14" s="84" t="s">
        <v>149</v>
      </c>
      <c r="GS14" s="84" t="str">
        <f t="shared" si="13"/>
        <v>Yes</v>
      </c>
      <c r="GT14" s="84" t="s">
        <v>149</v>
      </c>
      <c r="GU14" s="84" t="s">
        <v>149</v>
      </c>
      <c r="GV14" s="84" t="s">
        <v>149</v>
      </c>
      <c r="GW14" s="84" t="s">
        <v>149</v>
      </c>
      <c r="GX14" s="84" t="s">
        <v>150</v>
      </c>
      <c r="GY14" s="84" t="s">
        <v>149</v>
      </c>
      <c r="GZ14" s="84" t="s">
        <v>149</v>
      </c>
      <c r="HA14" s="84" t="str">
        <f t="shared" si="14"/>
        <v>Partial yes</v>
      </c>
      <c r="HB14" s="84" t="s">
        <v>149</v>
      </c>
      <c r="HC14" s="84" t="str">
        <f t="shared" si="15"/>
        <v>Yes</v>
      </c>
      <c r="HD14" s="84" t="s">
        <v>149</v>
      </c>
      <c r="HE14" s="84" t="str">
        <f t="shared" si="32"/>
        <v>Yes</v>
      </c>
      <c r="HF14" s="84" t="s">
        <v>832</v>
      </c>
      <c r="HG14" s="84" t="s">
        <v>832</v>
      </c>
      <c r="HH14" s="84" t="s">
        <v>832</v>
      </c>
      <c r="HI14" s="84" t="s">
        <v>832</v>
      </c>
      <c r="HJ14" s="84" t="s">
        <v>149</v>
      </c>
      <c r="HK14" s="84" t="s">
        <v>832</v>
      </c>
      <c r="HL14" s="84" t="s">
        <v>832</v>
      </c>
      <c r="HM14" s="84" t="s">
        <v>149</v>
      </c>
      <c r="HN14" s="84" t="str">
        <f t="shared" si="16"/>
        <v>Yes</v>
      </c>
      <c r="HO14" s="84" t="s">
        <v>149</v>
      </c>
      <c r="HP14" s="84" t="str">
        <f t="shared" si="17"/>
        <v>Yes</v>
      </c>
      <c r="HQ14" s="84" t="s">
        <v>149</v>
      </c>
      <c r="HR14" s="84" t="str">
        <f t="shared" si="18"/>
        <v>Yes</v>
      </c>
      <c r="HS14" s="84" t="s">
        <v>149</v>
      </c>
      <c r="HT14" s="84" t="str">
        <f t="shared" si="19"/>
        <v>Yes</v>
      </c>
      <c r="HU14" s="84" t="s">
        <v>149</v>
      </c>
      <c r="HV14" s="84" t="s">
        <v>149</v>
      </c>
      <c r="HW14" s="100" t="s">
        <v>832</v>
      </c>
      <c r="HX14" s="84" t="s">
        <v>149</v>
      </c>
      <c r="HY14" s="84" t="s">
        <v>149</v>
      </c>
      <c r="HZ14" s="84" t="str">
        <f t="shared" si="20"/>
        <v>Partial yes</v>
      </c>
      <c r="IA14" s="84" t="s">
        <v>149</v>
      </c>
      <c r="IB14" s="84" t="str">
        <f t="shared" si="21"/>
        <v>Yes</v>
      </c>
      <c r="IC14" s="84" t="s">
        <v>149</v>
      </c>
      <c r="ID14" s="84" t="s">
        <v>149</v>
      </c>
      <c r="IE14" s="84" t="s">
        <v>832</v>
      </c>
      <c r="IF14" s="84" t="s">
        <v>832</v>
      </c>
      <c r="IG14" s="84" t="s">
        <v>832</v>
      </c>
      <c r="IH14" s="84" t="s">
        <v>832</v>
      </c>
      <c r="II14" s="84" t="s">
        <v>832</v>
      </c>
      <c r="IJ14" s="84" t="s">
        <v>149</v>
      </c>
      <c r="IK14" s="84" t="s">
        <v>149</v>
      </c>
      <c r="IL14" s="84" t="s">
        <v>149</v>
      </c>
      <c r="IM14" s="84" t="s">
        <v>149</v>
      </c>
      <c r="IN14" s="84" t="s">
        <v>149</v>
      </c>
      <c r="IP14" s="84" t="s">
        <v>150</v>
      </c>
      <c r="IR14" s="84" t="str">
        <f t="shared" si="23"/>
        <v>Partial yes</v>
      </c>
      <c r="IS14" s="84" t="s">
        <v>149</v>
      </c>
      <c r="IT14" s="84" t="s">
        <v>149</v>
      </c>
      <c r="IU14" s="84" t="s">
        <v>150</v>
      </c>
      <c r="IV14" s="84" t="str">
        <f t="shared" si="24"/>
        <v>Partial yes</v>
      </c>
      <c r="IW14" s="84" t="s">
        <v>149</v>
      </c>
      <c r="IX14" s="84" t="s">
        <v>149</v>
      </c>
      <c r="IY14" s="84" t="str">
        <f t="shared" si="25"/>
        <v>Yes</v>
      </c>
      <c r="IZ14" s="84" t="s">
        <v>149</v>
      </c>
      <c r="JA14" s="84" t="s">
        <v>149</v>
      </c>
      <c r="JB14" s="84" t="str">
        <f t="shared" si="26"/>
        <v>Yes</v>
      </c>
      <c r="JC14" s="84" t="s">
        <v>150</v>
      </c>
      <c r="JD14" s="84" t="s">
        <v>832</v>
      </c>
      <c r="JE14" s="84" t="str">
        <f t="shared" si="27"/>
        <v>No</v>
      </c>
      <c r="JF14" s="84" t="s">
        <v>149</v>
      </c>
      <c r="JG14" s="84" t="str">
        <f>JF14</f>
        <v>Yes</v>
      </c>
      <c r="JH14" s="84" t="s">
        <v>149</v>
      </c>
    </row>
    <row r="15" spans="1:268" s="84" customFormat="1" ht="16" x14ac:dyDescent="0.25">
      <c r="A15" s="83">
        <v>53</v>
      </c>
      <c r="B15" s="84" t="s">
        <v>482</v>
      </c>
      <c r="C15" s="84" t="s">
        <v>380</v>
      </c>
      <c r="D15" s="84" t="s">
        <v>178</v>
      </c>
      <c r="E15" s="85">
        <v>44405</v>
      </c>
      <c r="F15" s="84" t="s">
        <v>483</v>
      </c>
      <c r="G15" s="84" t="s">
        <v>149</v>
      </c>
      <c r="H15" s="84" t="s">
        <v>149</v>
      </c>
      <c r="I15" s="84" t="s">
        <v>315</v>
      </c>
      <c r="J15" s="84" t="s">
        <v>202</v>
      </c>
      <c r="K15" s="86" t="s">
        <v>203</v>
      </c>
      <c r="L15" s="84" t="s">
        <v>154</v>
      </c>
      <c r="M15" s="86" t="s">
        <v>667</v>
      </c>
      <c r="N15" s="84" t="s">
        <v>156</v>
      </c>
      <c r="O15" s="86" t="s">
        <v>690</v>
      </c>
      <c r="P15" s="84" t="s">
        <v>185</v>
      </c>
      <c r="Q15" s="84" t="s">
        <v>206</v>
      </c>
      <c r="R15" s="88">
        <v>8</v>
      </c>
      <c r="S15" s="84" t="s">
        <v>691</v>
      </c>
      <c r="T15" s="88" t="s">
        <v>149</v>
      </c>
      <c r="U15" s="84" t="s">
        <v>149</v>
      </c>
      <c r="V15" s="84" t="s">
        <v>150</v>
      </c>
      <c r="W15" s="84" t="s">
        <v>149</v>
      </c>
      <c r="X15" s="84" t="s">
        <v>149</v>
      </c>
      <c r="Y15" s="84" t="s">
        <v>150</v>
      </c>
      <c r="Z15" s="84" t="s">
        <v>150</v>
      </c>
      <c r="AA15" s="89"/>
      <c r="AB15" s="84" t="s">
        <v>149</v>
      </c>
      <c r="AC15" s="84" t="s">
        <v>149</v>
      </c>
      <c r="AD15" s="84" t="s">
        <v>150</v>
      </c>
      <c r="AE15" s="84" t="s">
        <v>150</v>
      </c>
      <c r="AF15" s="89"/>
      <c r="AH15" s="90" t="s">
        <v>242</v>
      </c>
      <c r="AI15" s="146" t="s">
        <v>149</v>
      </c>
      <c r="AJ15" s="156" t="s">
        <v>149</v>
      </c>
      <c r="AK15" s="157" t="s">
        <v>668</v>
      </c>
      <c r="AL15" s="158">
        <v>44306</v>
      </c>
      <c r="AM15" s="164" t="s">
        <v>150</v>
      </c>
      <c r="AQ15" s="86"/>
      <c r="AR15" s="91"/>
      <c r="AS15" s="84" t="s">
        <v>149</v>
      </c>
      <c r="AT15" s="84" t="s">
        <v>149</v>
      </c>
      <c r="AU15" s="84" t="s">
        <v>149</v>
      </c>
      <c r="AV15" s="84" t="s">
        <v>150</v>
      </c>
      <c r="AW15" s="84" t="s">
        <v>149</v>
      </c>
      <c r="AX15" s="84" t="s">
        <v>150</v>
      </c>
      <c r="AY15" s="92" t="s">
        <v>149</v>
      </c>
      <c r="AZ15" s="84" t="s">
        <v>149</v>
      </c>
      <c r="BA15" s="84" t="s">
        <v>149</v>
      </c>
      <c r="BB15" s="84" t="s">
        <v>149</v>
      </c>
      <c r="BC15" s="84" t="s">
        <v>149</v>
      </c>
      <c r="BD15" s="84" t="s">
        <v>150</v>
      </c>
      <c r="BE15" s="84" t="s">
        <v>149</v>
      </c>
      <c r="BF15" s="84" t="s">
        <v>149</v>
      </c>
      <c r="BG15" s="87" t="s">
        <v>149</v>
      </c>
      <c r="BH15" s="84" t="s">
        <v>149</v>
      </c>
      <c r="BI15" s="84" t="s">
        <v>149</v>
      </c>
      <c r="BJ15" s="86" t="s">
        <v>149</v>
      </c>
      <c r="BK15" s="84" t="s">
        <v>149</v>
      </c>
      <c r="BL15" s="84" t="s">
        <v>149</v>
      </c>
      <c r="BM15" s="87" t="s">
        <v>149</v>
      </c>
      <c r="BN15" s="84" t="s">
        <v>149</v>
      </c>
      <c r="BO15" s="84" t="s">
        <v>149</v>
      </c>
      <c r="BP15" s="84" t="s">
        <v>149</v>
      </c>
      <c r="BR15" s="84" t="s">
        <v>191</v>
      </c>
      <c r="BT15" s="87" t="s">
        <v>163</v>
      </c>
      <c r="BU15" s="84" t="s">
        <v>164</v>
      </c>
      <c r="BW15" s="92"/>
      <c r="BX15" s="86" t="s">
        <v>165</v>
      </c>
      <c r="BY15" s="84" t="s">
        <v>149</v>
      </c>
      <c r="BZ15" s="93" t="s">
        <v>605</v>
      </c>
      <c r="CA15" s="94">
        <v>318</v>
      </c>
      <c r="CB15" s="92">
        <v>14</v>
      </c>
      <c r="CC15" s="84">
        <v>14</v>
      </c>
      <c r="CD15" s="95">
        <v>0</v>
      </c>
      <c r="CE15" s="85">
        <v>44342</v>
      </c>
      <c r="CF15" s="84" t="s">
        <v>150</v>
      </c>
      <c r="CH15" s="86"/>
      <c r="CI15" s="84" t="s">
        <v>150</v>
      </c>
      <c r="CJ15" s="92"/>
      <c r="CK15" s="84" t="s">
        <v>149</v>
      </c>
      <c r="CL15" s="92" t="s">
        <v>220</v>
      </c>
      <c r="CM15" s="92" t="s">
        <v>149</v>
      </c>
      <c r="CN15" s="96" t="s">
        <v>150</v>
      </c>
      <c r="CU15" s="97"/>
      <c r="CV15" s="87" t="s">
        <v>150</v>
      </c>
      <c r="CW15" s="97" t="s">
        <v>150</v>
      </c>
      <c r="CX15" s="97"/>
      <c r="DC15" s="97"/>
      <c r="DD15" s="87" t="s">
        <v>150</v>
      </c>
      <c r="DE15" s="97" t="s">
        <v>150</v>
      </c>
      <c r="DF15" s="97"/>
      <c r="DJ15" s="96"/>
      <c r="DK15" s="86"/>
      <c r="DL15" s="84" t="s">
        <v>150</v>
      </c>
      <c r="DM15" s="97" t="s">
        <v>150</v>
      </c>
      <c r="DN15" s="97"/>
      <c r="DS15" s="97"/>
      <c r="DT15" s="90" t="s">
        <v>150</v>
      </c>
      <c r="DU15" s="84" t="s">
        <v>150</v>
      </c>
      <c r="DW15" s="84" t="s">
        <v>149</v>
      </c>
      <c r="DY15" s="87" t="s">
        <v>150</v>
      </c>
      <c r="DZ15" s="84" t="s">
        <v>150</v>
      </c>
      <c r="EB15" s="86"/>
      <c r="EC15" s="87" t="s">
        <v>149</v>
      </c>
      <c r="ED15" s="97" t="s">
        <v>150</v>
      </c>
      <c r="EF15" s="84" t="s">
        <v>196</v>
      </c>
      <c r="EG15" s="84" t="s">
        <v>150</v>
      </c>
      <c r="EI15" s="96" t="s">
        <v>150</v>
      </c>
      <c r="EJ15" s="97"/>
      <c r="EN15" s="96"/>
      <c r="EO15" s="96"/>
      <c r="EP15" s="125"/>
      <c r="EQ15" s="126" t="s">
        <v>149</v>
      </c>
      <c r="ER15" s="135" t="s">
        <v>166</v>
      </c>
      <c r="ES15" s="84" t="s">
        <v>166</v>
      </c>
      <c r="ET15" s="84" t="s">
        <v>166</v>
      </c>
      <c r="EU15" s="86" t="s">
        <v>166</v>
      </c>
      <c r="EV15" s="95" t="s">
        <v>166</v>
      </c>
      <c r="EW15" s="146" t="str">
        <f t="shared" si="0"/>
        <v>Low</v>
      </c>
      <c r="EX15" s="141"/>
      <c r="EY15" s="84" t="s">
        <v>150</v>
      </c>
      <c r="EZ15" s="84" t="s">
        <v>150</v>
      </c>
      <c r="FA15" s="84" t="s">
        <v>150</v>
      </c>
      <c r="FB15" s="86" t="str">
        <f t="shared" si="1"/>
        <v>No</v>
      </c>
      <c r="FC15" s="84" t="s">
        <v>150</v>
      </c>
      <c r="FD15" s="84" t="s">
        <v>149</v>
      </c>
      <c r="FE15" s="84" t="s">
        <v>149</v>
      </c>
      <c r="FF15" s="84" t="s">
        <v>149</v>
      </c>
      <c r="FG15" s="84" t="s">
        <v>149</v>
      </c>
      <c r="FH15" s="84" t="s">
        <v>150</v>
      </c>
      <c r="FI15" s="84" t="s">
        <v>149</v>
      </c>
      <c r="FJ15" s="84" t="s">
        <v>149</v>
      </c>
      <c r="FK15" s="84" t="s">
        <v>149</v>
      </c>
      <c r="FL15" s="84" t="s">
        <v>149</v>
      </c>
      <c r="FM15" s="84" t="s">
        <v>150</v>
      </c>
      <c r="FN15" s="84" t="s">
        <v>150</v>
      </c>
      <c r="FO15" s="84" t="str">
        <f t="shared" si="2"/>
        <v>Partial yes</v>
      </c>
      <c r="FP15" s="84" t="s">
        <v>149</v>
      </c>
      <c r="FQ15" s="84" t="s">
        <v>149</v>
      </c>
      <c r="FR15" s="84" t="s">
        <v>832</v>
      </c>
      <c r="FS15" s="84" t="str">
        <f t="shared" si="3"/>
        <v>Yes</v>
      </c>
      <c r="FT15" s="84" t="s">
        <v>149</v>
      </c>
      <c r="FU15" s="84" t="s">
        <v>832</v>
      </c>
      <c r="FV15" s="84" t="str">
        <f t="shared" si="4"/>
        <v>Yes</v>
      </c>
      <c r="FW15" s="84" t="str">
        <f t="shared" si="5"/>
        <v>Yes</v>
      </c>
      <c r="FX15" s="84" t="str">
        <f t="shared" si="29"/>
        <v>Yes</v>
      </c>
      <c r="FY15" s="84" t="str">
        <f t="shared" ref="FY15:FY48" si="34">EI15</f>
        <v>No</v>
      </c>
      <c r="FZ15" s="84" t="str">
        <f t="shared" si="7"/>
        <v>Partial yes</v>
      </c>
      <c r="GA15" s="84" t="s">
        <v>149</v>
      </c>
      <c r="GB15" s="84" t="str">
        <f t="shared" ref="GB15:GB22" si="35">GA15</f>
        <v>Yes</v>
      </c>
      <c r="GC15" s="84" t="s">
        <v>149</v>
      </c>
      <c r="GD15" s="84" t="str">
        <f t="shared" si="33"/>
        <v>Yes</v>
      </c>
      <c r="GE15" s="84" t="s">
        <v>149</v>
      </c>
      <c r="GF15" s="84" t="str">
        <f t="shared" si="31"/>
        <v>Yes</v>
      </c>
      <c r="GG15" s="84" t="s">
        <v>149</v>
      </c>
      <c r="GH15" s="84" t="str">
        <f t="shared" si="9"/>
        <v>Yes</v>
      </c>
      <c r="GI15" s="84" t="s">
        <v>149</v>
      </c>
      <c r="GJ15" s="84" t="s">
        <v>832</v>
      </c>
      <c r="GK15" s="84" t="str">
        <f t="shared" si="10"/>
        <v>Yes</v>
      </c>
      <c r="GL15" s="84" t="s">
        <v>149</v>
      </c>
      <c r="GM15" s="84" t="s">
        <v>149</v>
      </c>
      <c r="GN15" s="84" t="str">
        <f t="shared" ref="GN15:GN46" si="36">IF(COUNTIF(GL15:GM15,"Yes")=COLUMNS(GL15:GM15),"Yes",IF(COUNTIF(GL15:GM15,"Yes")=0,"No","Partial yes"))</f>
        <v>Yes</v>
      </c>
      <c r="GO15" s="84" t="s">
        <v>149</v>
      </c>
      <c r="GP15" s="84" t="s">
        <v>832</v>
      </c>
      <c r="GQ15" s="84" t="str">
        <f t="shared" si="12"/>
        <v>Yes</v>
      </c>
      <c r="GR15" s="84" t="s">
        <v>149</v>
      </c>
      <c r="GS15" s="84" t="str">
        <f t="shared" si="13"/>
        <v>Yes</v>
      </c>
      <c r="GT15" s="84" t="s">
        <v>149</v>
      </c>
      <c r="GU15" s="84" t="s">
        <v>149</v>
      </c>
      <c r="GV15" s="84" t="s">
        <v>149</v>
      </c>
      <c r="GW15" s="84" t="s">
        <v>149</v>
      </c>
      <c r="GX15" s="84" t="s">
        <v>150</v>
      </c>
      <c r="GY15" s="84" t="s">
        <v>149</v>
      </c>
      <c r="GZ15" s="84" t="s">
        <v>149</v>
      </c>
      <c r="HA15" s="84" t="str">
        <f t="shared" si="14"/>
        <v>Partial yes</v>
      </c>
      <c r="HB15" s="84" t="s">
        <v>149</v>
      </c>
      <c r="HC15" s="84" t="str">
        <f t="shared" si="15"/>
        <v>Yes</v>
      </c>
      <c r="HD15" s="84" t="s">
        <v>149</v>
      </c>
      <c r="HE15" s="84" t="str">
        <f t="shared" si="32"/>
        <v>Yes</v>
      </c>
      <c r="HF15" s="84" t="s">
        <v>832</v>
      </c>
      <c r="HG15" s="84" t="s">
        <v>832</v>
      </c>
      <c r="HH15" s="84" t="s">
        <v>832</v>
      </c>
      <c r="HI15" s="84" t="s">
        <v>832</v>
      </c>
      <c r="HJ15" s="84" t="s">
        <v>149</v>
      </c>
      <c r="HK15" s="84" t="s">
        <v>832</v>
      </c>
      <c r="HL15" s="84" t="s">
        <v>832</v>
      </c>
      <c r="HM15" s="84" t="s">
        <v>149</v>
      </c>
      <c r="HN15" s="84" t="str">
        <f t="shared" si="16"/>
        <v>Yes</v>
      </c>
      <c r="HO15" s="84" t="s">
        <v>149</v>
      </c>
      <c r="HP15" s="84" t="str">
        <f t="shared" si="17"/>
        <v>Yes</v>
      </c>
      <c r="HQ15" s="84" t="s">
        <v>149</v>
      </c>
      <c r="HR15" s="84" t="str">
        <f t="shared" si="18"/>
        <v>Yes</v>
      </c>
      <c r="HS15" s="84" t="s">
        <v>149</v>
      </c>
      <c r="HT15" s="84" t="str">
        <f t="shared" si="19"/>
        <v>Yes</v>
      </c>
      <c r="HU15" s="84" t="s">
        <v>149</v>
      </c>
      <c r="HV15" s="84" t="s">
        <v>149</v>
      </c>
      <c r="HW15" s="100" t="s">
        <v>832</v>
      </c>
      <c r="HX15" s="84" t="s">
        <v>149</v>
      </c>
      <c r="HY15" s="84" t="s">
        <v>149</v>
      </c>
      <c r="HZ15" s="84" t="str">
        <f t="shared" si="20"/>
        <v>Partial yes</v>
      </c>
      <c r="IA15" s="84" t="s">
        <v>149</v>
      </c>
      <c r="IB15" s="84" t="str">
        <f t="shared" si="21"/>
        <v>Yes</v>
      </c>
      <c r="IC15" s="84" t="s">
        <v>149</v>
      </c>
      <c r="ID15" s="84" t="str">
        <f>IC15</f>
        <v>Yes</v>
      </c>
      <c r="IE15" s="84" t="s">
        <v>832</v>
      </c>
      <c r="IF15" s="84" t="s">
        <v>832</v>
      </c>
      <c r="IG15" s="84" t="s">
        <v>832</v>
      </c>
      <c r="IH15" s="84" t="s">
        <v>832</v>
      </c>
      <c r="II15" s="84" t="s">
        <v>832</v>
      </c>
      <c r="IJ15" s="84" t="s">
        <v>149</v>
      </c>
      <c r="IK15" s="84" t="s">
        <v>149</v>
      </c>
      <c r="IL15" s="84" t="s">
        <v>149</v>
      </c>
      <c r="IM15" s="84" t="s">
        <v>150</v>
      </c>
      <c r="IN15" s="84" t="s">
        <v>149</v>
      </c>
      <c r="IP15" s="84" t="s">
        <v>150</v>
      </c>
      <c r="IR15" s="84" t="str">
        <f t="shared" si="23"/>
        <v>Partial yes</v>
      </c>
      <c r="IS15" s="84" t="s">
        <v>149</v>
      </c>
      <c r="IT15" s="84" t="s">
        <v>149</v>
      </c>
      <c r="IU15" s="84" t="s">
        <v>149</v>
      </c>
      <c r="IV15" s="84" t="str">
        <f t="shared" si="24"/>
        <v>Yes</v>
      </c>
      <c r="IW15" s="84" t="s">
        <v>149</v>
      </c>
      <c r="IX15" s="84" t="s">
        <v>149</v>
      </c>
      <c r="IY15" s="84" t="str">
        <f t="shared" si="25"/>
        <v>Yes</v>
      </c>
      <c r="IZ15" s="84" t="s">
        <v>149</v>
      </c>
      <c r="JA15" s="84" t="s">
        <v>149</v>
      </c>
      <c r="JB15" s="84" t="str">
        <f t="shared" si="26"/>
        <v>Yes</v>
      </c>
      <c r="JC15" s="84" t="s">
        <v>149</v>
      </c>
      <c r="JD15" s="84" t="s">
        <v>832</v>
      </c>
      <c r="JE15" s="84" t="str">
        <f t="shared" si="27"/>
        <v>Yes</v>
      </c>
      <c r="JF15" s="84" t="s">
        <v>149</v>
      </c>
      <c r="JG15" s="84" t="str">
        <f>JF15</f>
        <v>Yes</v>
      </c>
      <c r="JH15" s="84" t="s">
        <v>150</v>
      </c>
    </row>
    <row r="16" spans="1:268" s="84" customFormat="1" ht="16" x14ac:dyDescent="0.25">
      <c r="A16" s="83">
        <v>20</v>
      </c>
      <c r="B16" s="84" t="s">
        <v>352</v>
      </c>
      <c r="C16" s="84" t="s">
        <v>353</v>
      </c>
      <c r="D16" s="84" t="s">
        <v>354</v>
      </c>
      <c r="E16" s="85">
        <v>44470</v>
      </c>
      <c r="F16" s="84" t="s">
        <v>355</v>
      </c>
      <c r="G16" s="84" t="s">
        <v>149</v>
      </c>
      <c r="H16" s="84" t="s">
        <v>150</v>
      </c>
      <c r="I16" s="84" t="s">
        <v>218</v>
      </c>
      <c r="J16" s="84" t="s">
        <v>716</v>
      </c>
      <c r="K16" s="86" t="s">
        <v>356</v>
      </c>
      <c r="L16" s="84" t="s">
        <v>154</v>
      </c>
      <c r="M16" s="86" t="s">
        <v>357</v>
      </c>
      <c r="N16" s="84" t="s">
        <v>717</v>
      </c>
      <c r="O16" s="86" t="s">
        <v>358</v>
      </c>
      <c r="P16" s="84" t="s">
        <v>185</v>
      </c>
      <c r="Q16" s="84" t="s">
        <v>359</v>
      </c>
      <c r="R16" s="88">
        <v>2</v>
      </c>
      <c r="S16" s="84" t="s">
        <v>360</v>
      </c>
      <c r="T16" s="88" t="s">
        <v>149</v>
      </c>
      <c r="U16" s="84" t="s">
        <v>150</v>
      </c>
      <c r="V16" s="84" t="s">
        <v>149</v>
      </c>
      <c r="W16" s="84" t="s">
        <v>149</v>
      </c>
      <c r="X16" s="84" t="s">
        <v>150</v>
      </c>
      <c r="Y16" s="84" t="s">
        <v>150</v>
      </c>
      <c r="Z16" s="84" t="s">
        <v>150</v>
      </c>
      <c r="AA16" s="89"/>
      <c r="AB16" s="84" t="s">
        <v>149</v>
      </c>
      <c r="AC16" s="84" t="s">
        <v>149</v>
      </c>
      <c r="AD16" s="84" t="s">
        <v>150</v>
      </c>
      <c r="AE16" s="84" t="s">
        <v>150</v>
      </c>
      <c r="AF16" s="89"/>
      <c r="AH16" s="90" t="s">
        <v>188</v>
      </c>
      <c r="AI16" s="146" t="s">
        <v>150</v>
      </c>
      <c r="AJ16" s="156" t="s">
        <v>149</v>
      </c>
      <c r="AK16" s="157" t="s">
        <v>361</v>
      </c>
      <c r="AL16" s="158">
        <v>44138</v>
      </c>
      <c r="AM16" s="84" t="s">
        <v>149</v>
      </c>
      <c r="AN16" s="85">
        <v>44242</v>
      </c>
      <c r="AO16" s="84" t="s">
        <v>149</v>
      </c>
      <c r="AP16" s="84" t="s">
        <v>362</v>
      </c>
      <c r="AQ16" s="86"/>
      <c r="AR16" s="91" t="s">
        <v>363</v>
      </c>
      <c r="AS16" s="84" t="s">
        <v>149</v>
      </c>
      <c r="AT16" s="84" t="s">
        <v>149</v>
      </c>
      <c r="AU16" s="84" t="s">
        <v>149</v>
      </c>
      <c r="AV16" s="84" t="s">
        <v>150</v>
      </c>
      <c r="AW16" s="84" t="s">
        <v>150</v>
      </c>
      <c r="AX16" s="84" t="s">
        <v>149</v>
      </c>
      <c r="AY16" s="92" t="s">
        <v>149</v>
      </c>
      <c r="AZ16" s="84" t="s">
        <v>150</v>
      </c>
      <c r="BG16" s="87" t="s">
        <v>149</v>
      </c>
      <c r="BH16" s="84" t="s">
        <v>149</v>
      </c>
      <c r="BI16" s="84" t="s">
        <v>149</v>
      </c>
      <c r="BJ16" s="86" t="s">
        <v>150</v>
      </c>
      <c r="BK16" s="84" t="s">
        <v>150</v>
      </c>
      <c r="BL16" s="84" t="s">
        <v>150</v>
      </c>
      <c r="BM16" s="87" t="s">
        <v>149</v>
      </c>
      <c r="BN16" s="84" t="s">
        <v>149</v>
      </c>
      <c r="BO16" s="84" t="s">
        <v>150</v>
      </c>
      <c r="BQ16" s="84" t="s">
        <v>364</v>
      </c>
      <c r="BR16" s="84" t="s">
        <v>150</v>
      </c>
      <c r="BS16" s="84" t="s">
        <v>365</v>
      </c>
      <c r="BT16" s="87" t="s">
        <v>163</v>
      </c>
      <c r="BU16" s="84" t="s">
        <v>164</v>
      </c>
      <c r="BW16" s="92"/>
      <c r="BX16" s="86" t="s">
        <v>165</v>
      </c>
      <c r="BY16" s="84" t="s">
        <v>149</v>
      </c>
      <c r="BZ16" s="93"/>
      <c r="CA16" s="94">
        <v>2850</v>
      </c>
      <c r="CB16" s="92">
        <v>27</v>
      </c>
      <c r="CC16" s="84">
        <v>20</v>
      </c>
      <c r="CD16" s="95">
        <v>7</v>
      </c>
      <c r="CE16" s="85">
        <v>44382</v>
      </c>
      <c r="CF16" s="84" t="s">
        <v>150</v>
      </c>
      <c r="CH16" s="86"/>
      <c r="CI16" s="84" t="s">
        <v>150</v>
      </c>
      <c r="CJ16" s="92"/>
      <c r="CK16" s="84" t="s">
        <v>149</v>
      </c>
      <c r="CL16" s="92" t="s">
        <v>221</v>
      </c>
      <c r="CM16" s="92" t="s">
        <v>150</v>
      </c>
      <c r="CN16" s="96" t="s">
        <v>149</v>
      </c>
      <c r="CO16" s="84" t="s">
        <v>149</v>
      </c>
      <c r="CP16" s="84" t="s">
        <v>150</v>
      </c>
      <c r="CS16" s="84" t="s">
        <v>150</v>
      </c>
      <c r="CU16" s="97"/>
      <c r="CV16" s="87" t="s">
        <v>150</v>
      </c>
      <c r="CW16" s="97" t="s">
        <v>150</v>
      </c>
      <c r="CX16" s="97"/>
      <c r="DC16" s="97"/>
      <c r="DD16" s="87" t="s">
        <v>150</v>
      </c>
      <c r="DE16" s="97" t="s">
        <v>150</v>
      </c>
      <c r="DF16" s="97"/>
      <c r="DJ16" s="96"/>
      <c r="DK16" s="86"/>
      <c r="DL16" s="84" t="s">
        <v>150</v>
      </c>
      <c r="DM16" s="97" t="s">
        <v>150</v>
      </c>
      <c r="DN16" s="97"/>
      <c r="DS16" s="97"/>
      <c r="DT16" s="90" t="s">
        <v>150</v>
      </c>
      <c r="DU16" s="84" t="s">
        <v>149</v>
      </c>
      <c r="DV16" s="84" t="s">
        <v>294</v>
      </c>
      <c r="DX16" s="84" t="s">
        <v>366</v>
      </c>
      <c r="DY16" s="87" t="s">
        <v>150</v>
      </c>
      <c r="DZ16" s="84" t="s">
        <v>150</v>
      </c>
      <c r="EB16" s="86"/>
      <c r="EC16" s="87" t="s">
        <v>149</v>
      </c>
      <c r="ED16" s="97" t="s">
        <v>149</v>
      </c>
      <c r="EE16" s="84" t="s">
        <v>367</v>
      </c>
      <c r="EF16" s="84" t="s">
        <v>150</v>
      </c>
      <c r="EG16" s="84" t="s">
        <v>150</v>
      </c>
      <c r="EI16" s="96" t="s">
        <v>150</v>
      </c>
      <c r="EJ16" s="97"/>
      <c r="EN16" s="96"/>
      <c r="EO16" s="96"/>
      <c r="EP16" s="125"/>
      <c r="EQ16" s="126" t="s">
        <v>149</v>
      </c>
      <c r="ER16" s="134" t="s">
        <v>166</v>
      </c>
      <c r="ES16" s="98" t="s">
        <v>171</v>
      </c>
      <c r="ET16" s="98" t="s">
        <v>171</v>
      </c>
      <c r="EU16" s="99" t="s">
        <v>171</v>
      </c>
      <c r="EV16" s="140" t="s">
        <v>171</v>
      </c>
      <c r="EW16" s="146" t="str">
        <f t="shared" si="0"/>
        <v>High</v>
      </c>
      <c r="EX16" s="141"/>
      <c r="EY16" s="84" t="s">
        <v>149</v>
      </c>
      <c r="EZ16" s="84" t="s">
        <v>149</v>
      </c>
      <c r="FA16" s="84" t="s">
        <v>150</v>
      </c>
      <c r="FB16" s="86" t="str">
        <f t="shared" si="1"/>
        <v>Partial yes</v>
      </c>
      <c r="FC16" s="84" t="s">
        <v>149</v>
      </c>
      <c r="FD16" s="84" t="s">
        <v>149</v>
      </c>
      <c r="FE16" s="84" t="s">
        <v>149</v>
      </c>
      <c r="FF16" s="84" t="s">
        <v>149</v>
      </c>
      <c r="FG16" s="84" t="s">
        <v>150</v>
      </c>
      <c r="FH16" s="84" t="s">
        <v>149</v>
      </c>
      <c r="FI16" s="84" t="s">
        <v>149</v>
      </c>
      <c r="FJ16" s="84" t="s">
        <v>149</v>
      </c>
      <c r="FK16" s="84" t="s">
        <v>149</v>
      </c>
      <c r="FL16" s="84" t="s">
        <v>149</v>
      </c>
      <c r="FM16" s="84" t="s">
        <v>150</v>
      </c>
      <c r="FN16" s="84" t="s">
        <v>150</v>
      </c>
      <c r="FO16" s="84" t="str">
        <f t="shared" si="2"/>
        <v>Partial yes</v>
      </c>
      <c r="FP16" s="84" t="s">
        <v>149</v>
      </c>
      <c r="FQ16" s="84" t="s">
        <v>149</v>
      </c>
      <c r="FR16" s="84" t="s">
        <v>832</v>
      </c>
      <c r="FS16" s="84" t="str">
        <f t="shared" si="3"/>
        <v>Yes</v>
      </c>
      <c r="FT16" s="84" t="s">
        <v>149</v>
      </c>
      <c r="FU16" s="84" t="s">
        <v>832</v>
      </c>
      <c r="FV16" s="84" t="str">
        <f t="shared" si="4"/>
        <v>Yes</v>
      </c>
      <c r="FW16" s="84" t="str">
        <f t="shared" si="5"/>
        <v>Yes</v>
      </c>
      <c r="FX16" s="84" t="str">
        <f t="shared" si="29"/>
        <v>Yes</v>
      </c>
      <c r="FY16" s="84" t="str">
        <f t="shared" si="34"/>
        <v>No</v>
      </c>
      <c r="FZ16" s="84" t="str">
        <f t="shared" si="7"/>
        <v>Partial yes</v>
      </c>
      <c r="GA16" s="84" t="s">
        <v>149</v>
      </c>
      <c r="GB16" s="84" t="str">
        <f t="shared" si="35"/>
        <v>Yes</v>
      </c>
      <c r="GC16" s="84" t="s">
        <v>149</v>
      </c>
      <c r="GD16" s="84" t="str">
        <f t="shared" si="33"/>
        <v>Yes</v>
      </c>
      <c r="GE16" s="84" t="s">
        <v>149</v>
      </c>
      <c r="GF16" s="84" t="str">
        <f t="shared" si="31"/>
        <v>Yes</v>
      </c>
      <c r="GG16" s="84" t="s">
        <v>149</v>
      </c>
      <c r="GH16" s="84" t="s">
        <v>149</v>
      </c>
      <c r="GI16" s="84" t="s">
        <v>149</v>
      </c>
      <c r="GJ16" s="84" t="s">
        <v>832</v>
      </c>
      <c r="GK16" s="84" t="str">
        <f t="shared" si="10"/>
        <v>Yes</v>
      </c>
      <c r="GL16" s="84" t="s">
        <v>149</v>
      </c>
      <c r="GM16" s="84" t="s">
        <v>149</v>
      </c>
      <c r="GN16" s="84" t="str">
        <f t="shared" si="36"/>
        <v>Yes</v>
      </c>
      <c r="GO16" s="84" t="s">
        <v>149</v>
      </c>
      <c r="GP16" s="84" t="s">
        <v>832</v>
      </c>
      <c r="GQ16" s="84" t="str">
        <f t="shared" si="12"/>
        <v>Yes</v>
      </c>
      <c r="GR16" s="84" t="s">
        <v>149</v>
      </c>
      <c r="GS16" s="84" t="str">
        <f t="shared" si="13"/>
        <v>Yes</v>
      </c>
      <c r="GT16" s="84" t="s">
        <v>149</v>
      </c>
      <c r="GU16" s="84" t="s">
        <v>149</v>
      </c>
      <c r="GV16" s="84" t="s">
        <v>149</v>
      </c>
      <c r="GW16" s="84" t="s">
        <v>149</v>
      </c>
      <c r="GX16" s="84" t="s">
        <v>150</v>
      </c>
      <c r="GY16" s="84" t="s">
        <v>149</v>
      </c>
      <c r="GZ16" s="84" t="s">
        <v>149</v>
      </c>
      <c r="HA16" s="84" t="str">
        <f t="shared" si="14"/>
        <v>Partial yes</v>
      </c>
      <c r="HB16" s="84" t="s">
        <v>149</v>
      </c>
      <c r="HC16" s="84" t="s">
        <v>149</v>
      </c>
      <c r="HD16" s="84" t="s">
        <v>149</v>
      </c>
      <c r="HE16" s="84" t="str">
        <f t="shared" si="32"/>
        <v>Yes</v>
      </c>
      <c r="HF16" s="84" t="s">
        <v>832</v>
      </c>
      <c r="HG16" s="84" t="s">
        <v>832</v>
      </c>
      <c r="HH16" s="84" t="s">
        <v>832</v>
      </c>
      <c r="HI16" s="84" t="s">
        <v>832</v>
      </c>
      <c r="HJ16" s="84" t="s">
        <v>149</v>
      </c>
      <c r="HK16" s="84" t="s">
        <v>832</v>
      </c>
      <c r="HL16" s="84" t="s">
        <v>832</v>
      </c>
      <c r="HM16" s="84" t="s">
        <v>149</v>
      </c>
      <c r="HN16" s="84" t="str">
        <f t="shared" si="16"/>
        <v>Yes</v>
      </c>
      <c r="HO16" s="84" t="s">
        <v>149</v>
      </c>
      <c r="HP16" s="84" t="str">
        <f t="shared" si="17"/>
        <v>Yes</v>
      </c>
      <c r="HQ16" s="84" t="s">
        <v>149</v>
      </c>
      <c r="HR16" s="84" t="str">
        <f t="shared" si="18"/>
        <v>Yes</v>
      </c>
      <c r="HS16" s="84" t="s">
        <v>149</v>
      </c>
      <c r="HT16" s="84" t="str">
        <f t="shared" si="19"/>
        <v>Yes</v>
      </c>
      <c r="HU16" s="84" t="s">
        <v>149</v>
      </c>
      <c r="HV16" s="84" t="s">
        <v>149</v>
      </c>
      <c r="HW16" s="100" t="s">
        <v>832</v>
      </c>
      <c r="HX16" s="84" t="s">
        <v>149</v>
      </c>
      <c r="HY16" s="84" t="s">
        <v>149</v>
      </c>
      <c r="HZ16" s="84" t="str">
        <f t="shared" si="20"/>
        <v>Partial yes</v>
      </c>
      <c r="IA16" s="84" t="s">
        <v>149</v>
      </c>
      <c r="IB16" s="84" t="str">
        <f t="shared" si="21"/>
        <v>Yes</v>
      </c>
      <c r="IC16" s="84" t="s">
        <v>149</v>
      </c>
      <c r="ID16" s="84" t="s">
        <v>149</v>
      </c>
      <c r="IE16" s="84" t="s">
        <v>832</v>
      </c>
      <c r="IF16" s="84" t="s">
        <v>832</v>
      </c>
      <c r="IG16" s="84" t="s">
        <v>832</v>
      </c>
      <c r="IH16" s="84" t="s">
        <v>832</v>
      </c>
      <c r="II16" s="84" t="s">
        <v>832</v>
      </c>
      <c r="IJ16" s="84" t="s">
        <v>149</v>
      </c>
      <c r="IK16" s="84" t="s">
        <v>149</v>
      </c>
      <c r="IL16" s="84" t="s">
        <v>149</v>
      </c>
      <c r="IM16" s="84" t="s">
        <v>150</v>
      </c>
      <c r="IN16" s="84" t="s">
        <v>149</v>
      </c>
      <c r="IP16" s="84" t="s">
        <v>150</v>
      </c>
      <c r="IR16" s="84" t="str">
        <f t="shared" si="23"/>
        <v>Partial yes</v>
      </c>
      <c r="IS16" s="84" t="s">
        <v>149</v>
      </c>
      <c r="IT16" s="84" t="s">
        <v>149</v>
      </c>
      <c r="IU16" s="84" t="s">
        <v>149</v>
      </c>
      <c r="IV16" s="84" t="str">
        <f t="shared" si="24"/>
        <v>Yes</v>
      </c>
      <c r="IW16" s="84" t="s">
        <v>149</v>
      </c>
      <c r="IX16" s="84" t="s">
        <v>149</v>
      </c>
      <c r="IY16" s="84" t="str">
        <f t="shared" si="25"/>
        <v>Yes</v>
      </c>
      <c r="IZ16" s="84" t="s">
        <v>149</v>
      </c>
      <c r="JA16" s="84" t="s">
        <v>149</v>
      </c>
      <c r="JB16" s="84" t="str">
        <f t="shared" si="26"/>
        <v>Yes</v>
      </c>
      <c r="JC16" s="84" t="s">
        <v>150</v>
      </c>
      <c r="JD16" s="84" t="s">
        <v>832</v>
      </c>
      <c r="JE16" s="84" t="str">
        <f t="shared" si="27"/>
        <v>No</v>
      </c>
      <c r="JF16" s="84" t="s">
        <v>149</v>
      </c>
      <c r="JG16" s="84" t="s">
        <v>149</v>
      </c>
      <c r="JH16" s="51" t="s">
        <v>150</v>
      </c>
    </row>
    <row r="17" spans="1:268" s="84" customFormat="1" ht="16" x14ac:dyDescent="0.25">
      <c r="A17" s="83">
        <v>13</v>
      </c>
      <c r="B17" s="84" t="s">
        <v>297</v>
      </c>
      <c r="C17" s="84" t="s">
        <v>298</v>
      </c>
      <c r="D17" s="84" t="s">
        <v>178</v>
      </c>
      <c r="E17" s="85">
        <v>44273</v>
      </c>
      <c r="F17" s="84" t="s">
        <v>299</v>
      </c>
      <c r="G17" s="84" t="s">
        <v>149</v>
      </c>
      <c r="H17" s="84" t="s">
        <v>149</v>
      </c>
      <c r="I17" s="84" t="s">
        <v>275</v>
      </c>
      <c r="J17" s="84" t="s">
        <v>202</v>
      </c>
      <c r="K17" s="86" t="s">
        <v>203</v>
      </c>
      <c r="L17" s="84" t="s">
        <v>154</v>
      </c>
      <c r="M17" s="86" t="s">
        <v>300</v>
      </c>
      <c r="N17" s="84" t="s">
        <v>717</v>
      </c>
      <c r="O17" s="86" t="s">
        <v>301</v>
      </c>
      <c r="P17" s="84" t="s">
        <v>185</v>
      </c>
      <c r="Q17" s="84" t="s">
        <v>302</v>
      </c>
      <c r="R17" s="88">
        <v>5</v>
      </c>
      <c r="S17" s="84" t="s">
        <v>303</v>
      </c>
      <c r="T17" s="88" t="s">
        <v>149</v>
      </c>
      <c r="U17" s="84" t="s">
        <v>149</v>
      </c>
      <c r="V17" s="84" t="s">
        <v>149</v>
      </c>
      <c r="W17" s="84" t="s">
        <v>150</v>
      </c>
      <c r="X17" s="84" t="s">
        <v>150</v>
      </c>
      <c r="Y17" s="84" t="s">
        <v>150</v>
      </c>
      <c r="Z17" s="84" t="s">
        <v>150</v>
      </c>
      <c r="AA17" s="89"/>
      <c r="AB17" s="84" t="s">
        <v>149</v>
      </c>
      <c r="AC17" s="84" t="s">
        <v>150</v>
      </c>
      <c r="AD17" s="84" t="s">
        <v>150</v>
      </c>
      <c r="AE17" s="84" t="s">
        <v>150</v>
      </c>
      <c r="AF17" s="89"/>
      <c r="AH17" s="90" t="s">
        <v>188</v>
      </c>
      <c r="AI17" s="146" t="s">
        <v>149</v>
      </c>
      <c r="AJ17" s="156" t="s">
        <v>149</v>
      </c>
      <c r="AK17" s="157" t="s">
        <v>304</v>
      </c>
      <c r="AL17" s="158">
        <v>44138</v>
      </c>
      <c r="AM17" s="159" t="s">
        <v>149</v>
      </c>
      <c r="AN17" s="85">
        <v>44133</v>
      </c>
      <c r="AO17" s="84" t="s">
        <v>149</v>
      </c>
      <c r="AP17" s="84" t="s">
        <v>305</v>
      </c>
      <c r="AQ17" s="86"/>
      <c r="AR17" s="91"/>
      <c r="AS17" s="84" t="s">
        <v>149</v>
      </c>
      <c r="AT17" s="84" t="s">
        <v>149</v>
      </c>
      <c r="AU17" s="84" t="s">
        <v>149</v>
      </c>
      <c r="AV17" s="84" t="s">
        <v>150</v>
      </c>
      <c r="AW17" s="84" t="s">
        <v>150</v>
      </c>
      <c r="AX17" s="84" t="s">
        <v>149</v>
      </c>
      <c r="AY17" s="92" t="s">
        <v>149</v>
      </c>
      <c r="AZ17" s="84" t="s">
        <v>149</v>
      </c>
      <c r="BA17" s="84" t="s">
        <v>149</v>
      </c>
      <c r="BB17" s="84" t="s">
        <v>149</v>
      </c>
      <c r="BC17" s="84" t="s">
        <v>149</v>
      </c>
      <c r="BD17" s="84" t="s">
        <v>150</v>
      </c>
      <c r="BE17" s="84" t="s">
        <v>150</v>
      </c>
      <c r="BF17" s="84" t="s">
        <v>149</v>
      </c>
      <c r="BG17" s="87" t="s">
        <v>149</v>
      </c>
      <c r="BH17" s="84" t="s">
        <v>149</v>
      </c>
      <c r="BI17" s="84" t="s">
        <v>149</v>
      </c>
      <c r="BJ17" s="86" t="s">
        <v>149</v>
      </c>
      <c r="BK17" s="84" t="s">
        <v>149</v>
      </c>
      <c r="BL17" s="84" t="s">
        <v>149</v>
      </c>
      <c r="BM17" s="87" t="s">
        <v>149</v>
      </c>
      <c r="BN17" s="84" t="s">
        <v>149</v>
      </c>
      <c r="BO17" s="84" t="s">
        <v>149</v>
      </c>
      <c r="BP17" s="84" t="s">
        <v>149</v>
      </c>
      <c r="BR17" s="84" t="s">
        <v>191</v>
      </c>
      <c r="BT17" s="87" t="s">
        <v>163</v>
      </c>
      <c r="BU17" s="84" t="s">
        <v>164</v>
      </c>
      <c r="BW17" s="92"/>
      <c r="BX17" s="86" t="s">
        <v>165</v>
      </c>
      <c r="BY17" s="84" t="s">
        <v>149</v>
      </c>
      <c r="BZ17" s="93"/>
      <c r="CA17" s="94">
        <v>46228</v>
      </c>
      <c r="CB17" s="92">
        <v>10</v>
      </c>
      <c r="CC17" s="84">
        <v>10</v>
      </c>
      <c r="CD17" s="95">
        <v>0</v>
      </c>
      <c r="CE17" s="85">
        <v>44253</v>
      </c>
      <c r="CF17" s="84" t="s">
        <v>149</v>
      </c>
      <c r="CG17" s="85">
        <v>44078</v>
      </c>
      <c r="CH17" s="86" t="s">
        <v>306</v>
      </c>
      <c r="CI17" s="84" t="s">
        <v>150</v>
      </c>
      <c r="CJ17" s="92"/>
      <c r="CK17" s="84" t="s">
        <v>149</v>
      </c>
      <c r="CL17" s="92" t="s">
        <v>307</v>
      </c>
      <c r="CM17" s="92" t="s">
        <v>150</v>
      </c>
      <c r="CN17" s="96" t="s">
        <v>150</v>
      </c>
      <c r="CU17" s="97"/>
      <c r="CV17" s="87" t="s">
        <v>150</v>
      </c>
      <c r="CW17" s="97" t="s">
        <v>150</v>
      </c>
      <c r="CX17" s="97"/>
      <c r="DC17" s="97"/>
      <c r="DD17" s="87" t="s">
        <v>150</v>
      </c>
      <c r="DE17" s="97" t="s">
        <v>150</v>
      </c>
      <c r="DF17" s="97"/>
      <c r="DJ17" s="96"/>
      <c r="DK17" s="86"/>
      <c r="DL17" s="84" t="s">
        <v>150</v>
      </c>
      <c r="DM17" s="97" t="s">
        <v>150</v>
      </c>
      <c r="DN17" s="97"/>
      <c r="DS17" s="97"/>
      <c r="DT17" s="90" t="s">
        <v>150</v>
      </c>
      <c r="DU17" s="84" t="s">
        <v>149</v>
      </c>
      <c r="DV17" s="84" t="s">
        <v>220</v>
      </c>
      <c r="DX17" s="84" t="s">
        <v>308</v>
      </c>
      <c r="DY17" s="87" t="s">
        <v>149</v>
      </c>
      <c r="DZ17" s="84" t="s">
        <v>309</v>
      </c>
      <c r="EB17" s="86" t="s">
        <v>310</v>
      </c>
      <c r="EC17" s="87" t="s">
        <v>149</v>
      </c>
      <c r="ED17" s="97" t="s">
        <v>149</v>
      </c>
      <c r="EE17" s="84" t="s">
        <v>311</v>
      </c>
      <c r="EF17" s="84" t="s">
        <v>196</v>
      </c>
      <c r="EG17" s="84" t="s">
        <v>150</v>
      </c>
      <c r="EI17" s="96" t="s">
        <v>150</v>
      </c>
      <c r="EJ17" s="97"/>
      <c r="EN17" s="96"/>
      <c r="EO17" s="96"/>
      <c r="EP17" s="125"/>
      <c r="EQ17" s="126" t="s">
        <v>149</v>
      </c>
      <c r="ER17" s="134" t="s">
        <v>166</v>
      </c>
      <c r="ES17" s="98" t="s">
        <v>166</v>
      </c>
      <c r="ET17" s="98" t="s">
        <v>166</v>
      </c>
      <c r="EU17" s="99" t="s">
        <v>166</v>
      </c>
      <c r="EV17" s="140" t="s">
        <v>166</v>
      </c>
      <c r="EW17" s="146" t="str">
        <f t="shared" si="0"/>
        <v>Low</v>
      </c>
      <c r="EX17" s="141"/>
      <c r="EY17" s="84" t="s">
        <v>149</v>
      </c>
      <c r="EZ17" s="84" t="s">
        <v>149</v>
      </c>
      <c r="FA17" s="84" t="s">
        <v>150</v>
      </c>
      <c r="FB17" s="86" t="str">
        <f t="shared" si="1"/>
        <v>Partial yes</v>
      </c>
      <c r="FC17" s="84" t="s">
        <v>149</v>
      </c>
      <c r="FD17" s="84" t="s">
        <v>149</v>
      </c>
      <c r="FE17" s="84" t="s">
        <v>149</v>
      </c>
      <c r="FF17" s="84" t="s">
        <v>149</v>
      </c>
      <c r="FG17" s="84" t="s">
        <v>149</v>
      </c>
      <c r="FH17" s="84" t="s">
        <v>149</v>
      </c>
      <c r="FI17" s="84" t="s">
        <v>149</v>
      </c>
      <c r="FJ17" s="84" t="s">
        <v>149</v>
      </c>
      <c r="FK17" s="84" t="s">
        <v>149</v>
      </c>
      <c r="FL17" s="84" t="s">
        <v>149</v>
      </c>
      <c r="FM17" s="84" t="s">
        <v>150</v>
      </c>
      <c r="FN17" s="84" t="s">
        <v>150</v>
      </c>
      <c r="FO17" s="84" t="str">
        <f t="shared" si="2"/>
        <v>Partial yes</v>
      </c>
      <c r="FP17" s="84" t="s">
        <v>149</v>
      </c>
      <c r="FQ17" s="84" t="s">
        <v>149</v>
      </c>
      <c r="FR17" s="84" t="s">
        <v>832</v>
      </c>
      <c r="FS17" s="84" t="str">
        <f t="shared" si="3"/>
        <v>Yes</v>
      </c>
      <c r="FT17" s="84" t="s">
        <v>149</v>
      </c>
      <c r="FU17" s="84" t="s">
        <v>832</v>
      </c>
      <c r="FV17" s="84" t="str">
        <f t="shared" si="4"/>
        <v>Yes</v>
      </c>
      <c r="FW17" s="84" t="str">
        <f t="shared" si="5"/>
        <v>Yes</v>
      </c>
      <c r="FX17" s="84" t="str">
        <f t="shared" si="29"/>
        <v>Yes</v>
      </c>
      <c r="FY17" s="84" t="str">
        <f t="shared" si="34"/>
        <v>No</v>
      </c>
      <c r="FZ17" s="84" t="str">
        <f t="shared" si="7"/>
        <v>Partial yes</v>
      </c>
      <c r="GA17" s="84" t="s">
        <v>149</v>
      </c>
      <c r="GB17" s="84" t="str">
        <f t="shared" si="35"/>
        <v>Yes</v>
      </c>
      <c r="GC17" s="84" t="s">
        <v>149</v>
      </c>
      <c r="GD17" s="84" t="str">
        <f t="shared" si="33"/>
        <v>Yes</v>
      </c>
      <c r="GE17" s="84" t="s">
        <v>149</v>
      </c>
      <c r="GF17" s="84" t="str">
        <f t="shared" si="31"/>
        <v>Yes</v>
      </c>
      <c r="GG17" s="84" t="s">
        <v>149</v>
      </c>
      <c r="GH17" s="84" t="str">
        <f t="shared" ref="GH17:GH45" si="37">GG17</f>
        <v>Yes</v>
      </c>
      <c r="GI17" s="84" t="s">
        <v>149</v>
      </c>
      <c r="GJ17" s="84" t="s">
        <v>832</v>
      </c>
      <c r="GK17" s="84" t="str">
        <f t="shared" si="10"/>
        <v>Yes</v>
      </c>
      <c r="GL17" s="84" t="s">
        <v>149</v>
      </c>
      <c r="GM17" s="84" t="s">
        <v>149</v>
      </c>
      <c r="GN17" s="84" t="str">
        <f t="shared" si="36"/>
        <v>Yes</v>
      </c>
      <c r="GO17" s="84" t="s">
        <v>149</v>
      </c>
      <c r="GP17" s="84" t="s">
        <v>832</v>
      </c>
      <c r="GQ17" s="84" t="str">
        <f t="shared" si="12"/>
        <v>Yes</v>
      </c>
      <c r="GR17" s="84" t="s">
        <v>149</v>
      </c>
      <c r="GS17" s="84" t="str">
        <f t="shared" si="13"/>
        <v>Yes</v>
      </c>
      <c r="GT17" s="84" t="s">
        <v>149</v>
      </c>
      <c r="GU17" s="84" t="s">
        <v>149</v>
      </c>
      <c r="GV17" s="84" t="s">
        <v>149</v>
      </c>
      <c r="GW17" s="84" t="s">
        <v>149</v>
      </c>
      <c r="GX17" s="84" t="s">
        <v>150</v>
      </c>
      <c r="GY17" s="84" t="s">
        <v>149</v>
      </c>
      <c r="GZ17" s="84" t="s">
        <v>149</v>
      </c>
      <c r="HA17" s="84" t="str">
        <f t="shared" si="14"/>
        <v>Partial yes</v>
      </c>
      <c r="HB17" s="84" t="s">
        <v>149</v>
      </c>
      <c r="HC17" s="84" t="str">
        <f>HB17</f>
        <v>Yes</v>
      </c>
      <c r="HD17" s="84" t="s">
        <v>149</v>
      </c>
      <c r="HE17" s="84" t="s">
        <v>149</v>
      </c>
      <c r="HF17" s="84" t="s">
        <v>832</v>
      </c>
      <c r="HG17" s="84" t="s">
        <v>832</v>
      </c>
      <c r="HH17" s="84" t="s">
        <v>832</v>
      </c>
      <c r="HI17" s="84" t="s">
        <v>832</v>
      </c>
      <c r="HJ17" s="84" t="s">
        <v>149</v>
      </c>
      <c r="HK17" s="84" t="s">
        <v>832</v>
      </c>
      <c r="HL17" s="84" t="s">
        <v>832</v>
      </c>
      <c r="HM17" s="84" t="s">
        <v>149</v>
      </c>
      <c r="HN17" s="84" t="str">
        <f t="shared" si="16"/>
        <v>Yes</v>
      </c>
      <c r="HO17" s="84" t="s">
        <v>149</v>
      </c>
      <c r="HP17" s="84" t="str">
        <f t="shared" si="17"/>
        <v>Yes</v>
      </c>
      <c r="HQ17" s="84" t="s">
        <v>149</v>
      </c>
      <c r="HR17" s="84" t="str">
        <f t="shared" si="18"/>
        <v>Yes</v>
      </c>
      <c r="HS17" s="84" t="s">
        <v>149</v>
      </c>
      <c r="HT17" s="84" t="str">
        <f t="shared" si="19"/>
        <v>Yes</v>
      </c>
      <c r="HU17" s="84" t="s">
        <v>149</v>
      </c>
      <c r="HV17" s="84" t="s">
        <v>149</v>
      </c>
      <c r="HW17" s="100" t="s">
        <v>832</v>
      </c>
      <c r="HX17" s="84" t="s">
        <v>149</v>
      </c>
      <c r="HY17" s="84" t="s">
        <v>149</v>
      </c>
      <c r="HZ17" s="84" t="str">
        <f t="shared" si="20"/>
        <v>Partial yes</v>
      </c>
      <c r="IA17" s="84" t="s">
        <v>149</v>
      </c>
      <c r="IB17" s="84" t="str">
        <f t="shared" si="21"/>
        <v>Yes</v>
      </c>
      <c r="IC17" s="84" t="s">
        <v>149</v>
      </c>
      <c r="ID17" s="84" t="str">
        <f>IC17</f>
        <v>Yes</v>
      </c>
      <c r="IE17" s="84" t="s">
        <v>832</v>
      </c>
      <c r="IF17" s="84" t="s">
        <v>832</v>
      </c>
      <c r="IG17" s="84" t="s">
        <v>832</v>
      </c>
      <c r="IH17" s="84" t="s">
        <v>832</v>
      </c>
      <c r="II17" s="84" t="s">
        <v>832</v>
      </c>
      <c r="IJ17" s="84" t="s">
        <v>149</v>
      </c>
      <c r="IK17" s="84" t="s">
        <v>149</v>
      </c>
      <c r="IL17" s="84" t="s">
        <v>149</v>
      </c>
      <c r="IM17" s="84" t="s">
        <v>150</v>
      </c>
      <c r="IN17" s="84" t="s">
        <v>149</v>
      </c>
      <c r="IP17" s="84" t="s">
        <v>150</v>
      </c>
      <c r="IR17" s="84" t="str">
        <f t="shared" si="23"/>
        <v>Partial yes</v>
      </c>
      <c r="IS17" s="84" t="s">
        <v>149</v>
      </c>
      <c r="IT17" s="84" t="s">
        <v>149</v>
      </c>
      <c r="IU17" s="84" t="s">
        <v>149</v>
      </c>
      <c r="IV17" s="84" t="str">
        <f t="shared" si="24"/>
        <v>Yes</v>
      </c>
      <c r="IW17" s="84" t="s">
        <v>149</v>
      </c>
      <c r="IX17" s="84" t="s">
        <v>149</v>
      </c>
      <c r="IY17" s="84" t="str">
        <f t="shared" si="25"/>
        <v>Yes</v>
      </c>
      <c r="IZ17" s="84" t="s">
        <v>149</v>
      </c>
      <c r="JA17" s="84" t="s">
        <v>149</v>
      </c>
      <c r="JB17" s="84" t="str">
        <f t="shared" si="26"/>
        <v>Yes</v>
      </c>
      <c r="JC17" s="84" t="s">
        <v>150</v>
      </c>
      <c r="JD17" s="84" t="s">
        <v>832</v>
      </c>
      <c r="JE17" s="84" t="str">
        <f t="shared" si="27"/>
        <v>No</v>
      </c>
      <c r="JF17" s="84" t="s">
        <v>149</v>
      </c>
      <c r="JG17" s="84" t="str">
        <f>JF17</f>
        <v>Yes</v>
      </c>
      <c r="JH17" s="84" t="s">
        <v>150</v>
      </c>
    </row>
    <row r="18" spans="1:268" s="84" customFormat="1" ht="16" x14ac:dyDescent="0.25">
      <c r="A18" s="83">
        <v>15</v>
      </c>
      <c r="B18" s="84" t="s">
        <v>312</v>
      </c>
      <c r="C18" s="84" t="s">
        <v>313</v>
      </c>
      <c r="D18" s="84" t="s">
        <v>178</v>
      </c>
      <c r="E18" s="85">
        <v>44413</v>
      </c>
      <c r="F18" s="84" t="s">
        <v>314</v>
      </c>
      <c r="G18" s="84" t="s">
        <v>149</v>
      </c>
      <c r="H18" s="84" t="s">
        <v>149</v>
      </c>
      <c r="I18" s="84" t="s">
        <v>315</v>
      </c>
      <c r="J18" s="84" t="s">
        <v>202</v>
      </c>
      <c r="K18" s="86" t="s">
        <v>203</v>
      </c>
      <c r="L18" s="84" t="s">
        <v>154</v>
      </c>
      <c r="M18" s="86" t="s">
        <v>254</v>
      </c>
      <c r="N18" s="84" t="s">
        <v>717</v>
      </c>
      <c r="O18" s="86" t="s">
        <v>316</v>
      </c>
      <c r="P18" s="84" t="s">
        <v>185</v>
      </c>
      <c r="Q18" s="84" t="s">
        <v>206</v>
      </c>
      <c r="R18" s="88">
        <v>10</v>
      </c>
      <c r="S18" s="84" t="s">
        <v>317</v>
      </c>
      <c r="T18" s="88" t="s">
        <v>149</v>
      </c>
      <c r="U18" s="84" t="s">
        <v>149</v>
      </c>
      <c r="V18" s="84" t="s">
        <v>149</v>
      </c>
      <c r="W18" s="84" t="s">
        <v>149</v>
      </c>
      <c r="X18" s="84" t="s">
        <v>149</v>
      </c>
      <c r="Y18" s="84" t="s">
        <v>150</v>
      </c>
      <c r="Z18" s="84" t="s">
        <v>150</v>
      </c>
      <c r="AA18" s="89"/>
      <c r="AB18" s="84" t="s">
        <v>149</v>
      </c>
      <c r="AC18" s="84" t="s">
        <v>149</v>
      </c>
      <c r="AD18" s="84" t="s">
        <v>149</v>
      </c>
      <c r="AE18" s="84" t="s">
        <v>150</v>
      </c>
      <c r="AF18" s="89"/>
      <c r="AH18" s="90" t="s">
        <v>188</v>
      </c>
      <c r="AI18" s="146" t="s">
        <v>149</v>
      </c>
      <c r="AJ18" s="87" t="s">
        <v>150</v>
      </c>
      <c r="AL18" s="92"/>
      <c r="AM18" s="159" t="s">
        <v>149</v>
      </c>
      <c r="AN18" s="85">
        <v>44253</v>
      </c>
      <c r="AO18" s="84" t="s">
        <v>149</v>
      </c>
      <c r="AP18" s="84" t="s">
        <v>318</v>
      </c>
      <c r="AQ18" s="86"/>
      <c r="AR18" s="91"/>
      <c r="AS18" s="84" t="s">
        <v>149</v>
      </c>
      <c r="AT18" s="84" t="s">
        <v>149</v>
      </c>
      <c r="AU18" s="84" t="s">
        <v>149</v>
      </c>
      <c r="AV18" s="84" t="s">
        <v>150</v>
      </c>
      <c r="AW18" s="84" t="s">
        <v>149</v>
      </c>
      <c r="AX18" s="84" t="s">
        <v>150</v>
      </c>
      <c r="AY18" s="92" t="s">
        <v>149</v>
      </c>
      <c r="AZ18" s="84" t="s">
        <v>149</v>
      </c>
      <c r="BA18" s="84" t="s">
        <v>149</v>
      </c>
      <c r="BB18" s="84" t="s">
        <v>149</v>
      </c>
      <c r="BC18" s="84" t="s">
        <v>149</v>
      </c>
      <c r="BD18" s="84" t="s">
        <v>150</v>
      </c>
      <c r="BE18" s="84" t="s">
        <v>149</v>
      </c>
      <c r="BF18" s="84" t="s">
        <v>149</v>
      </c>
      <c r="BG18" s="87" t="s">
        <v>149</v>
      </c>
      <c r="BH18" s="84" t="s">
        <v>149</v>
      </c>
      <c r="BI18" s="84" t="s">
        <v>149</v>
      </c>
      <c r="BJ18" s="86" t="s">
        <v>149</v>
      </c>
      <c r="BK18" s="84" t="s">
        <v>149</v>
      </c>
      <c r="BL18" s="84" t="s">
        <v>149</v>
      </c>
      <c r="BM18" s="87" t="s">
        <v>149</v>
      </c>
      <c r="BN18" s="84" t="s">
        <v>149</v>
      </c>
      <c r="BO18" s="84" t="s">
        <v>149</v>
      </c>
      <c r="BP18" s="84" t="s">
        <v>149</v>
      </c>
      <c r="BR18" s="84" t="s">
        <v>191</v>
      </c>
      <c r="BT18" s="87" t="s">
        <v>163</v>
      </c>
      <c r="BU18" s="84" t="s">
        <v>164</v>
      </c>
      <c r="BW18" s="92"/>
      <c r="BX18" s="86" t="s">
        <v>165</v>
      </c>
      <c r="BY18" s="84" t="s">
        <v>149</v>
      </c>
      <c r="BZ18" s="93" t="s">
        <v>210</v>
      </c>
      <c r="CA18" s="94">
        <v>884</v>
      </c>
      <c r="CB18" s="92">
        <v>5</v>
      </c>
      <c r="CC18" s="84">
        <v>5</v>
      </c>
      <c r="CD18" s="95">
        <v>0</v>
      </c>
      <c r="CE18" s="85">
        <v>44302</v>
      </c>
      <c r="CF18" s="84" t="s">
        <v>150</v>
      </c>
      <c r="CH18" s="86"/>
      <c r="CI18" s="84" t="s">
        <v>150</v>
      </c>
      <c r="CJ18" s="92"/>
      <c r="CK18" s="84" t="s">
        <v>149</v>
      </c>
      <c r="CL18" s="92" t="s">
        <v>220</v>
      </c>
      <c r="CM18" s="92" t="s">
        <v>149</v>
      </c>
      <c r="CN18" s="96" t="s">
        <v>150</v>
      </c>
      <c r="CU18" s="97"/>
      <c r="CV18" s="87" t="s">
        <v>150</v>
      </c>
      <c r="CW18" s="97" t="s">
        <v>150</v>
      </c>
      <c r="CX18" s="97"/>
      <c r="DC18" s="97"/>
      <c r="DD18" s="87" t="s">
        <v>150</v>
      </c>
      <c r="DE18" s="97" t="s">
        <v>150</v>
      </c>
      <c r="DF18" s="97"/>
      <c r="DJ18" s="96"/>
      <c r="DK18" s="86"/>
      <c r="DL18" s="84" t="s">
        <v>150</v>
      </c>
      <c r="DM18" s="97" t="s">
        <v>150</v>
      </c>
      <c r="DN18" s="97"/>
      <c r="DS18" s="97"/>
      <c r="DT18" s="90" t="s">
        <v>150</v>
      </c>
      <c r="DU18" s="84" t="s">
        <v>150</v>
      </c>
      <c r="DW18" s="84" t="s">
        <v>149</v>
      </c>
      <c r="DX18" s="84" t="s">
        <v>319</v>
      </c>
      <c r="DY18" s="87" t="s">
        <v>150</v>
      </c>
      <c r="DZ18" s="84" t="s">
        <v>150</v>
      </c>
      <c r="EB18" s="86"/>
      <c r="EC18" s="87" t="s">
        <v>149</v>
      </c>
      <c r="ED18" s="97" t="s">
        <v>150</v>
      </c>
      <c r="EF18" s="84" t="s">
        <v>196</v>
      </c>
      <c r="EG18" s="84" t="s">
        <v>150</v>
      </c>
      <c r="EH18" s="84" t="s">
        <v>320</v>
      </c>
      <c r="EI18" s="96" t="s">
        <v>150</v>
      </c>
      <c r="EJ18" s="97"/>
      <c r="EN18" s="96"/>
      <c r="EO18" s="96"/>
      <c r="EP18" s="125"/>
      <c r="EQ18" s="126" t="s">
        <v>149</v>
      </c>
      <c r="ER18" s="134" t="s">
        <v>166</v>
      </c>
      <c r="ES18" s="98" t="s">
        <v>166</v>
      </c>
      <c r="ET18" s="98" t="s">
        <v>166</v>
      </c>
      <c r="EU18" s="99" t="s">
        <v>166</v>
      </c>
      <c r="EV18" s="140" t="s">
        <v>166</v>
      </c>
      <c r="EW18" s="146" t="str">
        <f t="shared" si="0"/>
        <v>Low</v>
      </c>
      <c r="EX18" s="141"/>
      <c r="EY18" s="84" t="s">
        <v>150</v>
      </c>
      <c r="EZ18" s="84" t="s">
        <v>150</v>
      </c>
      <c r="FA18" s="84" t="s">
        <v>150</v>
      </c>
      <c r="FB18" s="86" t="str">
        <f t="shared" si="1"/>
        <v>No</v>
      </c>
      <c r="FC18" s="84" t="s">
        <v>149</v>
      </c>
      <c r="FD18" s="84" t="s">
        <v>149</v>
      </c>
      <c r="FE18" s="84" t="s">
        <v>149</v>
      </c>
      <c r="FF18" s="84" t="s">
        <v>149</v>
      </c>
      <c r="FG18" s="84" t="s">
        <v>149</v>
      </c>
      <c r="FH18" s="84" t="s">
        <v>150</v>
      </c>
      <c r="FI18" s="84" t="s">
        <v>149</v>
      </c>
      <c r="FJ18" s="84" t="s">
        <v>149</v>
      </c>
      <c r="FK18" s="84" t="s">
        <v>149</v>
      </c>
      <c r="FL18" s="84" t="s">
        <v>149</v>
      </c>
      <c r="FM18" s="84" t="s">
        <v>150</v>
      </c>
      <c r="FN18" s="84" t="s">
        <v>150</v>
      </c>
      <c r="FO18" s="84" t="str">
        <f t="shared" si="2"/>
        <v>Partial yes</v>
      </c>
      <c r="FP18" s="84" t="s">
        <v>149</v>
      </c>
      <c r="FQ18" s="84" t="s">
        <v>150</v>
      </c>
      <c r="FR18" s="84" t="s">
        <v>832</v>
      </c>
      <c r="FS18" s="84" t="str">
        <f t="shared" si="3"/>
        <v>Partial yes</v>
      </c>
      <c r="FT18" s="84" t="s">
        <v>149</v>
      </c>
      <c r="FU18" s="84" t="s">
        <v>832</v>
      </c>
      <c r="FV18" s="84" t="str">
        <f t="shared" si="4"/>
        <v>Yes</v>
      </c>
      <c r="FW18" s="84" t="str">
        <f t="shared" si="5"/>
        <v>Yes</v>
      </c>
      <c r="FX18" s="84" t="str">
        <f t="shared" si="29"/>
        <v>Yes</v>
      </c>
      <c r="FY18" s="84" t="str">
        <f t="shared" si="34"/>
        <v>No</v>
      </c>
      <c r="FZ18" s="84" t="str">
        <f t="shared" si="7"/>
        <v>Partial yes</v>
      </c>
      <c r="GA18" s="84" t="s">
        <v>149</v>
      </c>
      <c r="GB18" s="84" t="str">
        <f t="shared" si="35"/>
        <v>Yes</v>
      </c>
      <c r="GC18" s="84" t="s">
        <v>149</v>
      </c>
      <c r="GD18" s="84" t="str">
        <f t="shared" si="33"/>
        <v>Yes</v>
      </c>
      <c r="GE18" s="84" t="s">
        <v>149</v>
      </c>
      <c r="GF18" s="84" t="str">
        <f t="shared" si="31"/>
        <v>Yes</v>
      </c>
      <c r="GG18" s="84" t="s">
        <v>149</v>
      </c>
      <c r="GH18" s="84" t="str">
        <f t="shared" si="37"/>
        <v>Yes</v>
      </c>
      <c r="GI18" s="84" t="s">
        <v>149</v>
      </c>
      <c r="GJ18" s="84" t="s">
        <v>832</v>
      </c>
      <c r="GK18" s="84" t="str">
        <f t="shared" si="10"/>
        <v>Yes</v>
      </c>
      <c r="GL18" s="84" t="s">
        <v>149</v>
      </c>
      <c r="GM18" s="84" t="s">
        <v>149</v>
      </c>
      <c r="GN18" s="84" t="str">
        <f t="shared" si="36"/>
        <v>Yes</v>
      </c>
      <c r="GO18" s="84" t="s">
        <v>149</v>
      </c>
      <c r="GP18" s="84" t="s">
        <v>832</v>
      </c>
      <c r="GQ18" s="84" t="str">
        <f t="shared" si="12"/>
        <v>Yes</v>
      </c>
      <c r="GR18" s="84" t="s">
        <v>149</v>
      </c>
      <c r="GS18" s="84" t="s">
        <v>149</v>
      </c>
      <c r="GT18" s="84" t="s">
        <v>149</v>
      </c>
      <c r="GU18" s="84" t="s">
        <v>149</v>
      </c>
      <c r="GV18" s="84" t="s">
        <v>149</v>
      </c>
      <c r="GW18" s="84" t="s">
        <v>149</v>
      </c>
      <c r="GX18" s="84" t="s">
        <v>150</v>
      </c>
      <c r="GY18" s="84" t="s">
        <v>149</v>
      </c>
      <c r="GZ18" s="84" t="s">
        <v>149</v>
      </c>
      <c r="HA18" s="84" t="str">
        <f t="shared" si="14"/>
        <v>Partial yes</v>
      </c>
      <c r="HB18" s="84" t="s">
        <v>149</v>
      </c>
      <c r="HC18" s="84" t="s">
        <v>149</v>
      </c>
      <c r="HD18" s="84" t="s">
        <v>149</v>
      </c>
      <c r="HE18" s="84" t="s">
        <v>149</v>
      </c>
      <c r="HF18" s="84" t="s">
        <v>832</v>
      </c>
      <c r="HG18" s="84" t="s">
        <v>832</v>
      </c>
      <c r="HH18" s="84" t="s">
        <v>832</v>
      </c>
      <c r="HI18" s="84" t="s">
        <v>832</v>
      </c>
      <c r="HJ18" s="84" t="s">
        <v>149</v>
      </c>
      <c r="HK18" s="84" t="s">
        <v>832</v>
      </c>
      <c r="HL18" s="84" t="s">
        <v>832</v>
      </c>
      <c r="HM18" s="84" t="s">
        <v>149</v>
      </c>
      <c r="HN18" s="84" t="str">
        <f t="shared" si="16"/>
        <v>Yes</v>
      </c>
      <c r="HO18" s="84" t="s">
        <v>149</v>
      </c>
      <c r="HP18" s="84" t="s">
        <v>149</v>
      </c>
      <c r="HQ18" s="84" t="s">
        <v>149</v>
      </c>
      <c r="HR18" s="84" t="str">
        <f t="shared" si="18"/>
        <v>Yes</v>
      </c>
      <c r="HS18" s="84" t="s">
        <v>149</v>
      </c>
      <c r="HT18" s="84" t="str">
        <f t="shared" si="19"/>
        <v>Yes</v>
      </c>
      <c r="HU18" s="84" t="s">
        <v>149</v>
      </c>
      <c r="HV18" s="84" t="s">
        <v>149</v>
      </c>
      <c r="HW18" s="100" t="s">
        <v>832</v>
      </c>
      <c r="HX18" s="84" t="s">
        <v>149</v>
      </c>
      <c r="HY18" s="84" t="s">
        <v>149</v>
      </c>
      <c r="HZ18" s="84" t="str">
        <f t="shared" si="20"/>
        <v>Partial yes</v>
      </c>
      <c r="IA18" s="84" t="s">
        <v>150</v>
      </c>
      <c r="IB18" s="84" t="s">
        <v>149</v>
      </c>
      <c r="IC18" s="84" t="s">
        <v>149</v>
      </c>
      <c r="ID18" s="84" t="s">
        <v>149</v>
      </c>
      <c r="IE18" s="84" t="s">
        <v>832</v>
      </c>
      <c r="IF18" s="84" t="s">
        <v>832</v>
      </c>
      <c r="IG18" s="84" t="s">
        <v>832</v>
      </c>
      <c r="IH18" s="84" t="s">
        <v>832</v>
      </c>
      <c r="II18" s="84" t="s">
        <v>832</v>
      </c>
      <c r="IJ18" s="84" t="s">
        <v>149</v>
      </c>
      <c r="IK18" s="84" t="s">
        <v>149</v>
      </c>
      <c r="IL18" s="84" t="s">
        <v>149</v>
      </c>
      <c r="IM18" s="84" t="s">
        <v>150</v>
      </c>
      <c r="IN18" s="84" t="s">
        <v>149</v>
      </c>
      <c r="IP18" s="84" t="s">
        <v>150</v>
      </c>
      <c r="IR18" s="84" t="str">
        <f t="shared" si="23"/>
        <v>Partial yes</v>
      </c>
      <c r="IS18" s="84" t="s">
        <v>149</v>
      </c>
      <c r="IT18" s="84" t="s">
        <v>149</v>
      </c>
      <c r="IU18" s="84" t="s">
        <v>149</v>
      </c>
      <c r="IV18" s="84" t="str">
        <f t="shared" si="24"/>
        <v>Yes</v>
      </c>
      <c r="IW18" s="84" t="s">
        <v>149</v>
      </c>
      <c r="IX18" s="84" t="s">
        <v>149</v>
      </c>
      <c r="IY18" s="84" t="str">
        <f t="shared" si="25"/>
        <v>Yes</v>
      </c>
      <c r="IZ18" s="84" t="s">
        <v>149</v>
      </c>
      <c r="JA18" s="84" t="s">
        <v>149</v>
      </c>
      <c r="JB18" s="84" t="str">
        <f t="shared" si="26"/>
        <v>Yes</v>
      </c>
      <c r="JC18" s="84" t="s">
        <v>150</v>
      </c>
      <c r="JD18" s="84" t="s">
        <v>832</v>
      </c>
      <c r="JE18" s="84" t="str">
        <f t="shared" si="27"/>
        <v>No</v>
      </c>
      <c r="JF18" s="84" t="s">
        <v>149</v>
      </c>
      <c r="JG18" s="84" t="s">
        <v>149</v>
      </c>
      <c r="JH18" s="51" t="s">
        <v>150</v>
      </c>
    </row>
    <row r="19" spans="1:268" s="84" customFormat="1" ht="16" x14ac:dyDescent="0.25">
      <c r="A19" s="83">
        <v>23</v>
      </c>
      <c r="B19" s="84" t="s">
        <v>703</v>
      </c>
      <c r="C19" s="84" t="s">
        <v>387</v>
      </c>
      <c r="D19" s="84" t="s">
        <v>388</v>
      </c>
      <c r="E19" s="85">
        <v>44374</v>
      </c>
      <c r="F19" s="84" t="s">
        <v>389</v>
      </c>
      <c r="G19" s="84" t="s">
        <v>150</v>
      </c>
      <c r="H19" s="84" t="s">
        <v>150</v>
      </c>
      <c r="I19" s="84" t="s">
        <v>315</v>
      </c>
      <c r="J19" s="84" t="s">
        <v>390</v>
      </c>
      <c r="K19" s="86" t="s">
        <v>497</v>
      </c>
      <c r="L19" s="84" t="s">
        <v>165</v>
      </c>
      <c r="M19" s="86" t="s">
        <v>391</v>
      </c>
      <c r="N19" s="84" t="s">
        <v>156</v>
      </c>
      <c r="O19" s="86" t="s">
        <v>498</v>
      </c>
      <c r="P19" s="84" t="s">
        <v>185</v>
      </c>
      <c r="Q19" s="84" t="s">
        <v>206</v>
      </c>
      <c r="R19" s="88">
        <v>12</v>
      </c>
      <c r="S19" s="84" t="s">
        <v>499</v>
      </c>
      <c r="T19" s="88" t="s">
        <v>149</v>
      </c>
      <c r="U19" s="84" t="s">
        <v>149</v>
      </c>
      <c r="V19" s="84" t="s">
        <v>149</v>
      </c>
      <c r="W19" s="84" t="s">
        <v>150</v>
      </c>
      <c r="X19" s="84" t="s">
        <v>150</v>
      </c>
      <c r="Y19" s="84" t="s">
        <v>149</v>
      </c>
      <c r="Z19" s="84" t="s">
        <v>150</v>
      </c>
      <c r="AA19" s="89"/>
      <c r="AB19" s="84" t="s">
        <v>149</v>
      </c>
      <c r="AC19" s="84" t="s">
        <v>149</v>
      </c>
      <c r="AD19" s="84" t="s">
        <v>149</v>
      </c>
      <c r="AE19" s="84" t="s">
        <v>150</v>
      </c>
      <c r="AF19" s="89"/>
      <c r="AH19" s="90" t="s">
        <v>242</v>
      </c>
      <c r="AI19" s="146" t="s">
        <v>150</v>
      </c>
      <c r="AJ19" s="156" t="s">
        <v>149</v>
      </c>
      <c r="AK19" s="157" t="s">
        <v>500</v>
      </c>
      <c r="AL19" s="158">
        <v>43738</v>
      </c>
      <c r="AM19" s="84" t="s">
        <v>149</v>
      </c>
      <c r="AN19" s="85">
        <v>43715</v>
      </c>
      <c r="AO19" s="84" t="s">
        <v>149</v>
      </c>
      <c r="AP19" s="84" t="s">
        <v>501</v>
      </c>
      <c r="AQ19" s="86"/>
      <c r="AR19" s="91"/>
      <c r="AS19" s="84" t="s">
        <v>149</v>
      </c>
      <c r="AT19" s="84" t="s">
        <v>150</v>
      </c>
      <c r="AU19" s="84" t="s">
        <v>149</v>
      </c>
      <c r="AV19" s="84" t="s">
        <v>150</v>
      </c>
      <c r="AW19" s="84" t="s">
        <v>149</v>
      </c>
      <c r="AX19" s="84" t="s">
        <v>150</v>
      </c>
      <c r="AY19" s="92" t="s">
        <v>149</v>
      </c>
      <c r="AZ19" s="84" t="s">
        <v>149</v>
      </c>
      <c r="BA19" s="84" t="s">
        <v>150</v>
      </c>
      <c r="BB19" s="84" t="s">
        <v>149</v>
      </c>
      <c r="BC19" s="84" t="s">
        <v>150</v>
      </c>
      <c r="BD19" s="84" t="s">
        <v>150</v>
      </c>
      <c r="BE19" s="84" t="s">
        <v>150</v>
      </c>
      <c r="BF19" s="84" t="s">
        <v>150</v>
      </c>
      <c r="BG19" s="87" t="s">
        <v>149</v>
      </c>
      <c r="BH19" s="84" t="s">
        <v>149</v>
      </c>
      <c r="BI19" s="84" t="s">
        <v>149</v>
      </c>
      <c r="BJ19" s="86" t="s">
        <v>149</v>
      </c>
      <c r="BK19" s="84" t="s">
        <v>149</v>
      </c>
      <c r="BL19" s="84" t="s">
        <v>149</v>
      </c>
      <c r="BM19" s="87" t="s">
        <v>149</v>
      </c>
      <c r="BN19" s="84" t="s">
        <v>149</v>
      </c>
      <c r="BO19" s="84" t="s">
        <v>149</v>
      </c>
      <c r="BP19" s="84" t="s">
        <v>149</v>
      </c>
      <c r="BR19" s="84" t="s">
        <v>191</v>
      </c>
      <c r="BT19" s="87" t="s">
        <v>165</v>
      </c>
      <c r="BU19" s="84" t="s">
        <v>164</v>
      </c>
      <c r="BW19" s="92"/>
      <c r="BX19" s="86" t="s">
        <v>165</v>
      </c>
      <c r="BY19" s="84" t="s">
        <v>149</v>
      </c>
      <c r="BZ19" s="93"/>
      <c r="CA19" s="94">
        <v>30858</v>
      </c>
      <c r="CB19" s="92">
        <v>328</v>
      </c>
      <c r="CC19" s="84">
        <v>328</v>
      </c>
      <c r="CD19" s="95">
        <v>0</v>
      </c>
      <c r="CE19" s="85">
        <v>44297</v>
      </c>
      <c r="CF19" s="84" t="s">
        <v>150</v>
      </c>
      <c r="CH19" s="86"/>
      <c r="CI19" s="84" t="s">
        <v>150</v>
      </c>
      <c r="CJ19" s="92"/>
      <c r="CK19" s="84" t="s">
        <v>150</v>
      </c>
      <c r="CL19" s="92"/>
      <c r="CM19" s="92" t="s">
        <v>150</v>
      </c>
      <c r="CN19" s="96" t="s">
        <v>150</v>
      </c>
      <c r="CU19" s="97"/>
      <c r="CV19" s="87" t="s">
        <v>150</v>
      </c>
      <c r="CW19" s="97" t="s">
        <v>150</v>
      </c>
      <c r="CX19" s="97"/>
      <c r="DC19" s="97"/>
      <c r="DD19" s="87" t="s">
        <v>150</v>
      </c>
      <c r="DE19" s="97" t="s">
        <v>150</v>
      </c>
      <c r="DF19" s="97"/>
      <c r="DJ19" s="96"/>
      <c r="DK19" s="86"/>
      <c r="DL19" s="84" t="s">
        <v>150</v>
      </c>
      <c r="DM19" s="97" t="s">
        <v>150</v>
      </c>
      <c r="DN19" s="97"/>
      <c r="DS19" s="97"/>
      <c r="DT19" s="90" t="s">
        <v>150</v>
      </c>
      <c r="DU19" s="84" t="s">
        <v>149</v>
      </c>
      <c r="DV19" s="84" t="s">
        <v>294</v>
      </c>
      <c r="DY19" s="87" t="s">
        <v>150</v>
      </c>
      <c r="DZ19" s="84" t="s">
        <v>150</v>
      </c>
      <c r="EB19" s="86"/>
      <c r="EC19" s="87" t="s">
        <v>149</v>
      </c>
      <c r="ED19" s="97" t="s">
        <v>149</v>
      </c>
      <c r="EE19" s="84" t="s">
        <v>502</v>
      </c>
      <c r="EF19" s="84" t="s">
        <v>150</v>
      </c>
      <c r="EG19" s="84" t="s">
        <v>149</v>
      </c>
      <c r="EH19" s="84" t="s">
        <v>503</v>
      </c>
      <c r="EI19" s="96" t="s">
        <v>150</v>
      </c>
      <c r="EJ19" s="97"/>
      <c r="EN19" s="96"/>
      <c r="EO19" s="96"/>
      <c r="EP19" s="125"/>
      <c r="EQ19" s="126" t="s">
        <v>149</v>
      </c>
      <c r="ER19" s="135" t="s">
        <v>166</v>
      </c>
      <c r="ES19" s="84" t="s">
        <v>171</v>
      </c>
      <c r="ET19" s="84" t="s">
        <v>166</v>
      </c>
      <c r="EU19" s="86" t="s">
        <v>175</v>
      </c>
      <c r="EV19" s="95" t="s">
        <v>171</v>
      </c>
      <c r="EW19" s="146" t="str">
        <f t="shared" si="0"/>
        <v>High</v>
      </c>
      <c r="EX19" s="141"/>
      <c r="EY19" s="84" t="s">
        <v>149</v>
      </c>
      <c r="EZ19" s="84" t="s">
        <v>149</v>
      </c>
      <c r="FA19" s="84" t="s">
        <v>150</v>
      </c>
      <c r="FB19" s="86" t="str">
        <f t="shared" si="1"/>
        <v>Partial yes</v>
      </c>
      <c r="FC19" s="84" t="s">
        <v>149</v>
      </c>
      <c r="FD19" s="84" t="s">
        <v>149</v>
      </c>
      <c r="FE19" s="84" t="s">
        <v>149</v>
      </c>
      <c r="FF19" s="84" t="s">
        <v>150</v>
      </c>
      <c r="FG19" s="84" t="s">
        <v>150</v>
      </c>
      <c r="FH19" s="84" t="s">
        <v>150</v>
      </c>
      <c r="FI19" s="84" t="s">
        <v>149</v>
      </c>
      <c r="FJ19" s="84" t="s">
        <v>149</v>
      </c>
      <c r="FK19" s="84" t="s">
        <v>150</v>
      </c>
      <c r="FL19" s="84" t="s">
        <v>149</v>
      </c>
      <c r="FM19" s="84" t="s">
        <v>150</v>
      </c>
      <c r="FN19" s="84" t="s">
        <v>150</v>
      </c>
      <c r="FO19" s="84" t="str">
        <f t="shared" si="2"/>
        <v>Partial yes</v>
      </c>
      <c r="FP19" s="84" t="s">
        <v>149</v>
      </c>
      <c r="FQ19" s="84" t="s">
        <v>149</v>
      </c>
      <c r="FR19" s="84" t="s">
        <v>832</v>
      </c>
      <c r="FS19" s="84" t="str">
        <f t="shared" si="3"/>
        <v>Yes</v>
      </c>
      <c r="FT19" s="84" t="s">
        <v>149</v>
      </c>
      <c r="FU19" s="84" t="s">
        <v>832</v>
      </c>
      <c r="FV19" s="84" t="str">
        <f t="shared" si="4"/>
        <v>Yes</v>
      </c>
      <c r="FW19" s="84" t="str">
        <f t="shared" si="5"/>
        <v>No</v>
      </c>
      <c r="FX19" s="84" t="str">
        <f t="shared" si="29"/>
        <v>Yes</v>
      </c>
      <c r="FY19" s="84" t="str">
        <f t="shared" si="34"/>
        <v>No</v>
      </c>
      <c r="FZ19" s="84" t="str">
        <f t="shared" si="7"/>
        <v>Partial yes</v>
      </c>
      <c r="GA19" s="84" t="s">
        <v>149</v>
      </c>
      <c r="GB19" s="84" t="str">
        <f t="shared" si="35"/>
        <v>Yes</v>
      </c>
      <c r="GC19" s="84" t="s">
        <v>149</v>
      </c>
      <c r="GD19" s="84" t="str">
        <f t="shared" si="33"/>
        <v>Yes</v>
      </c>
      <c r="GE19" s="84" t="s">
        <v>149</v>
      </c>
      <c r="GF19" s="84" t="str">
        <f t="shared" si="31"/>
        <v>Yes</v>
      </c>
      <c r="GG19" s="84" t="s">
        <v>149</v>
      </c>
      <c r="GH19" s="84" t="str">
        <f t="shared" si="37"/>
        <v>Yes</v>
      </c>
      <c r="GI19" s="84" t="s">
        <v>149</v>
      </c>
      <c r="GJ19" s="84" t="s">
        <v>832</v>
      </c>
      <c r="GK19" s="84" t="str">
        <f t="shared" si="10"/>
        <v>Yes</v>
      </c>
      <c r="GL19" s="84" t="s">
        <v>149</v>
      </c>
      <c r="GM19" s="84" t="s">
        <v>149</v>
      </c>
      <c r="GN19" s="84" t="str">
        <f t="shared" si="36"/>
        <v>Yes</v>
      </c>
      <c r="GO19" s="84" t="s">
        <v>149</v>
      </c>
      <c r="GP19" s="84" t="s">
        <v>832</v>
      </c>
      <c r="GQ19" s="84" t="str">
        <f t="shared" si="12"/>
        <v>Yes</v>
      </c>
      <c r="GR19" s="84" t="s">
        <v>149</v>
      </c>
      <c r="GS19" s="84" t="str">
        <f t="shared" ref="GS19:GS38" si="38">GR19</f>
        <v>Yes</v>
      </c>
      <c r="GT19" s="84" t="s">
        <v>149</v>
      </c>
      <c r="GU19" s="84" t="s">
        <v>149</v>
      </c>
      <c r="GV19" s="84" t="s">
        <v>149</v>
      </c>
      <c r="GW19" s="84" t="s">
        <v>149</v>
      </c>
      <c r="GX19" s="84" t="s">
        <v>150</v>
      </c>
      <c r="GY19" s="84" t="s">
        <v>150</v>
      </c>
      <c r="GZ19" s="84" t="s">
        <v>150</v>
      </c>
      <c r="HA19" s="84" t="str">
        <f t="shared" si="14"/>
        <v>Partial yes</v>
      </c>
      <c r="HB19" s="84" t="s">
        <v>149</v>
      </c>
      <c r="HC19" s="84" t="str">
        <f>HB19</f>
        <v>Yes</v>
      </c>
      <c r="HD19" s="84" t="s">
        <v>149</v>
      </c>
      <c r="HE19" s="84" t="str">
        <f t="shared" ref="HE19:HE26" si="39">HD19</f>
        <v>Yes</v>
      </c>
      <c r="HF19" s="84" t="s">
        <v>832</v>
      </c>
      <c r="HG19" s="84" t="s">
        <v>832</v>
      </c>
      <c r="HH19" s="84" t="s">
        <v>832</v>
      </c>
      <c r="HI19" s="84" t="s">
        <v>832</v>
      </c>
      <c r="HJ19" s="84" t="s">
        <v>149</v>
      </c>
      <c r="HK19" s="84" t="s">
        <v>832</v>
      </c>
      <c r="HL19" s="84" t="s">
        <v>832</v>
      </c>
      <c r="HM19" s="84" t="s">
        <v>150</v>
      </c>
      <c r="HN19" s="84" t="str">
        <f t="shared" si="16"/>
        <v>Partial yes</v>
      </c>
      <c r="HO19" s="84" t="s">
        <v>150</v>
      </c>
      <c r="HP19" s="84" t="str">
        <f t="shared" ref="HP19:HP26" si="40">HO19</f>
        <v>No</v>
      </c>
      <c r="HQ19" s="84" t="s">
        <v>149</v>
      </c>
      <c r="HR19" s="84" t="str">
        <f t="shared" si="18"/>
        <v>Yes</v>
      </c>
      <c r="HS19" s="84" t="s">
        <v>150</v>
      </c>
      <c r="HT19" s="84" t="str">
        <f t="shared" si="19"/>
        <v>No</v>
      </c>
      <c r="HU19" s="84" t="s">
        <v>150</v>
      </c>
      <c r="HV19" s="84" t="s">
        <v>150</v>
      </c>
      <c r="HW19" s="100" t="s">
        <v>832</v>
      </c>
      <c r="HX19" s="84" t="s">
        <v>150</v>
      </c>
      <c r="HY19" s="84" t="s">
        <v>150</v>
      </c>
      <c r="HZ19" s="84" t="str">
        <f t="shared" si="20"/>
        <v>No</v>
      </c>
      <c r="IA19" s="84" t="s">
        <v>149</v>
      </c>
      <c r="IB19" s="84" t="str">
        <f t="shared" ref="IB19:IB45" si="41">IA19</f>
        <v>Yes</v>
      </c>
      <c r="IC19" s="84" t="s">
        <v>149</v>
      </c>
      <c r="ID19" s="84" t="str">
        <f>IC19</f>
        <v>Yes</v>
      </c>
      <c r="IE19" s="84" t="s">
        <v>832</v>
      </c>
      <c r="IF19" s="84" t="s">
        <v>832</v>
      </c>
      <c r="IG19" s="84" t="s">
        <v>832</v>
      </c>
      <c r="IH19" s="84" t="s">
        <v>832</v>
      </c>
      <c r="II19" s="84" t="s">
        <v>832</v>
      </c>
      <c r="IJ19" s="84" t="s">
        <v>150</v>
      </c>
      <c r="IK19" s="84" t="s">
        <v>150</v>
      </c>
      <c r="IL19" s="84" t="s">
        <v>150</v>
      </c>
      <c r="IM19" s="84" t="s">
        <v>150</v>
      </c>
      <c r="IN19" s="84" t="s">
        <v>149</v>
      </c>
      <c r="IP19" s="84" t="s">
        <v>150</v>
      </c>
      <c r="IR19" s="84" t="str">
        <f t="shared" si="23"/>
        <v>Partial yes</v>
      </c>
      <c r="IS19" s="84" t="s">
        <v>149</v>
      </c>
      <c r="IT19" s="84" t="s">
        <v>149</v>
      </c>
      <c r="IU19" s="84" t="s">
        <v>150</v>
      </c>
      <c r="IV19" s="84" t="str">
        <f t="shared" si="24"/>
        <v>Partial yes</v>
      </c>
      <c r="IW19" s="84" t="s">
        <v>149</v>
      </c>
      <c r="IX19" s="84" t="s">
        <v>149</v>
      </c>
      <c r="IY19" s="84" t="str">
        <f t="shared" si="25"/>
        <v>Yes</v>
      </c>
      <c r="IZ19" s="84" t="s">
        <v>149</v>
      </c>
      <c r="JA19" s="84" t="s">
        <v>149</v>
      </c>
      <c r="JB19" s="84" t="str">
        <f t="shared" si="26"/>
        <v>Yes</v>
      </c>
      <c r="JC19" s="84" t="s">
        <v>150</v>
      </c>
      <c r="JD19" s="84" t="s">
        <v>832</v>
      </c>
      <c r="JE19" s="84" t="str">
        <f t="shared" si="27"/>
        <v>No</v>
      </c>
      <c r="JF19" s="84" t="s">
        <v>149</v>
      </c>
      <c r="JG19" s="84" t="str">
        <f>JF19</f>
        <v>Yes</v>
      </c>
      <c r="JH19" s="51" t="s">
        <v>150</v>
      </c>
    </row>
    <row r="20" spans="1:268" s="84" customFormat="1" ht="16" x14ac:dyDescent="0.25">
      <c r="A20" s="83">
        <v>24</v>
      </c>
      <c r="B20" s="84" t="s">
        <v>392</v>
      </c>
      <c r="C20" s="84" t="s">
        <v>393</v>
      </c>
      <c r="D20" s="84" t="s">
        <v>394</v>
      </c>
      <c r="E20" s="85">
        <v>44289</v>
      </c>
      <c r="F20" s="84" t="s">
        <v>395</v>
      </c>
      <c r="G20" s="84" t="s">
        <v>149</v>
      </c>
      <c r="H20" s="84" t="s">
        <v>150</v>
      </c>
      <c r="I20" s="84" t="s">
        <v>218</v>
      </c>
      <c r="J20" s="84" t="s">
        <v>265</v>
      </c>
      <c r="K20" s="86" t="s">
        <v>504</v>
      </c>
      <c r="L20" s="84" t="s">
        <v>154</v>
      </c>
      <c r="M20" s="86" t="s">
        <v>505</v>
      </c>
      <c r="N20" s="84" t="s">
        <v>348</v>
      </c>
      <c r="O20" s="86" t="s">
        <v>506</v>
      </c>
      <c r="P20" s="84" t="s">
        <v>185</v>
      </c>
      <c r="Q20" s="84" t="s">
        <v>507</v>
      </c>
      <c r="R20" s="88">
        <v>6</v>
      </c>
      <c r="S20" s="84" t="s">
        <v>508</v>
      </c>
      <c r="T20" s="88" t="s">
        <v>149</v>
      </c>
      <c r="U20" s="84" t="s">
        <v>149</v>
      </c>
      <c r="V20" s="84" t="s">
        <v>149</v>
      </c>
      <c r="W20" s="84" t="s">
        <v>150</v>
      </c>
      <c r="X20" s="84" t="s">
        <v>150</v>
      </c>
      <c r="Y20" s="84" t="s">
        <v>150</v>
      </c>
      <c r="Z20" s="84" t="s">
        <v>150</v>
      </c>
      <c r="AA20" s="89"/>
      <c r="AB20" s="84" t="s">
        <v>149</v>
      </c>
      <c r="AC20" s="84" t="s">
        <v>150</v>
      </c>
      <c r="AD20" s="84" t="s">
        <v>149</v>
      </c>
      <c r="AE20" s="84" t="s">
        <v>150</v>
      </c>
      <c r="AF20" s="89"/>
      <c r="AH20" s="90" t="s">
        <v>160</v>
      </c>
      <c r="AI20" s="146" t="s">
        <v>149</v>
      </c>
      <c r="AJ20" s="87" t="s">
        <v>150</v>
      </c>
      <c r="AL20" s="92"/>
      <c r="AM20" s="84" t="s">
        <v>150</v>
      </c>
      <c r="AQ20" s="86"/>
      <c r="AR20" s="91"/>
      <c r="AS20" s="84" t="s">
        <v>149</v>
      </c>
      <c r="AT20" s="84" t="s">
        <v>149</v>
      </c>
      <c r="AU20" s="84" t="s">
        <v>149</v>
      </c>
      <c r="AV20" s="84" t="s">
        <v>150</v>
      </c>
      <c r="AW20" s="84" t="s">
        <v>150</v>
      </c>
      <c r="AX20" s="84" t="s">
        <v>150</v>
      </c>
      <c r="AY20" s="92" t="s">
        <v>149</v>
      </c>
      <c r="AZ20" s="84" t="s">
        <v>149</v>
      </c>
      <c r="BA20" s="84" t="s">
        <v>150</v>
      </c>
      <c r="BB20" s="84" t="s">
        <v>150</v>
      </c>
      <c r="BC20" s="84" t="s">
        <v>150</v>
      </c>
      <c r="BD20" s="84" t="s">
        <v>150</v>
      </c>
      <c r="BE20" s="84" t="s">
        <v>150</v>
      </c>
      <c r="BF20" s="84" t="s">
        <v>149</v>
      </c>
      <c r="BG20" s="87" t="s">
        <v>150</v>
      </c>
      <c r="BH20" s="84" t="s">
        <v>149</v>
      </c>
      <c r="BI20" s="84" t="s">
        <v>149</v>
      </c>
      <c r="BJ20" s="86" t="s">
        <v>150</v>
      </c>
      <c r="BK20" s="84" t="s">
        <v>149</v>
      </c>
      <c r="BL20" s="84" t="s">
        <v>150</v>
      </c>
      <c r="BM20" s="87" t="s">
        <v>149</v>
      </c>
      <c r="BN20" s="84" t="s">
        <v>150</v>
      </c>
      <c r="BO20" s="84" t="s">
        <v>149</v>
      </c>
      <c r="BP20" s="84" t="s">
        <v>150</v>
      </c>
      <c r="BR20" s="84" t="s">
        <v>191</v>
      </c>
      <c r="BT20" s="87" t="s">
        <v>165</v>
      </c>
      <c r="BU20" s="84" t="s">
        <v>165</v>
      </c>
      <c r="BW20" s="92"/>
      <c r="BX20" s="86" t="s">
        <v>165</v>
      </c>
      <c r="BY20" s="84" t="s">
        <v>149</v>
      </c>
      <c r="BZ20" s="93"/>
      <c r="CA20" s="94">
        <f>4983+4</f>
        <v>4987</v>
      </c>
      <c r="CB20" s="92">
        <v>14</v>
      </c>
      <c r="CC20" s="84">
        <v>14</v>
      </c>
      <c r="CD20" s="95">
        <v>0</v>
      </c>
      <c r="CE20" s="85">
        <v>44126</v>
      </c>
      <c r="CF20" s="84" t="s">
        <v>149</v>
      </c>
      <c r="CG20" s="85">
        <v>43515</v>
      </c>
      <c r="CH20" s="86"/>
      <c r="CI20" s="84" t="s">
        <v>150</v>
      </c>
      <c r="CJ20" s="92"/>
      <c r="CK20" s="84" t="s">
        <v>149</v>
      </c>
      <c r="CL20" s="92" t="s">
        <v>192</v>
      </c>
      <c r="CM20" s="92" t="s">
        <v>150</v>
      </c>
      <c r="CN20" s="96" t="s">
        <v>149</v>
      </c>
      <c r="CO20" s="84" t="s">
        <v>149</v>
      </c>
      <c r="CP20" s="84" t="s">
        <v>150</v>
      </c>
      <c r="CS20" s="84" t="s">
        <v>150</v>
      </c>
      <c r="CU20" s="97" t="s">
        <v>509</v>
      </c>
      <c r="CV20" s="87" t="s">
        <v>150</v>
      </c>
      <c r="CW20" s="97" t="s">
        <v>149</v>
      </c>
      <c r="CX20" s="97" t="s">
        <v>149</v>
      </c>
      <c r="CY20" s="84" t="s">
        <v>193</v>
      </c>
      <c r="DA20" s="84" t="s">
        <v>150</v>
      </c>
      <c r="DC20" s="97" t="s">
        <v>510</v>
      </c>
      <c r="DD20" s="87" t="s">
        <v>150</v>
      </c>
      <c r="DE20" s="97" t="s">
        <v>149</v>
      </c>
      <c r="DF20" s="97" t="s">
        <v>511</v>
      </c>
      <c r="DG20" s="84" t="s">
        <v>193</v>
      </c>
      <c r="DI20" s="84" t="s">
        <v>150</v>
      </c>
      <c r="DJ20" s="96"/>
      <c r="DK20" s="86"/>
      <c r="DL20" s="84" t="s">
        <v>150</v>
      </c>
      <c r="DM20" s="97" t="s">
        <v>150</v>
      </c>
      <c r="DN20" s="97"/>
      <c r="DS20" s="97"/>
      <c r="DT20" s="90" t="s">
        <v>150</v>
      </c>
      <c r="DU20" s="84" t="s">
        <v>150</v>
      </c>
      <c r="DW20" s="84" t="s">
        <v>150</v>
      </c>
      <c r="DX20" s="86"/>
      <c r="DY20" s="87" t="s">
        <v>150</v>
      </c>
      <c r="DZ20" s="84" t="s">
        <v>150</v>
      </c>
      <c r="EB20" s="86"/>
      <c r="EC20" s="87" t="s">
        <v>149</v>
      </c>
      <c r="ED20" s="97" t="s">
        <v>149</v>
      </c>
      <c r="EE20" s="84" t="s">
        <v>512</v>
      </c>
      <c r="EF20" s="84" t="s">
        <v>150</v>
      </c>
      <c r="EG20" s="84" t="s">
        <v>150</v>
      </c>
      <c r="EI20" s="96" t="s">
        <v>150</v>
      </c>
      <c r="EJ20" s="97"/>
      <c r="EN20" s="96"/>
      <c r="EO20" s="96"/>
      <c r="EP20" s="125"/>
      <c r="EQ20" s="126" t="s">
        <v>149</v>
      </c>
      <c r="ER20" s="135" t="s">
        <v>171</v>
      </c>
      <c r="ES20" s="84" t="s">
        <v>171</v>
      </c>
      <c r="ET20" s="84" t="s">
        <v>171</v>
      </c>
      <c r="EU20" s="86" t="s">
        <v>171</v>
      </c>
      <c r="EV20" s="95" t="s">
        <v>171</v>
      </c>
      <c r="EW20" s="146" t="str">
        <f t="shared" si="0"/>
        <v>High</v>
      </c>
      <c r="EX20" s="141"/>
      <c r="EY20" s="84" t="s">
        <v>149</v>
      </c>
      <c r="EZ20" s="84" t="s">
        <v>149</v>
      </c>
      <c r="FA20" s="84" t="s">
        <v>150</v>
      </c>
      <c r="FB20" s="86" t="str">
        <f t="shared" si="1"/>
        <v>Partial yes</v>
      </c>
      <c r="FC20" s="84" t="s">
        <v>149</v>
      </c>
      <c r="FD20" s="84" t="s">
        <v>149</v>
      </c>
      <c r="FE20" s="84" t="s">
        <v>150</v>
      </c>
      <c r="FF20" s="84" t="s">
        <v>150</v>
      </c>
      <c r="FG20" s="84" t="s">
        <v>150</v>
      </c>
      <c r="FH20" s="84" t="s">
        <v>150</v>
      </c>
      <c r="FI20" s="84" t="s">
        <v>150</v>
      </c>
      <c r="FJ20" s="84" t="s">
        <v>150</v>
      </c>
      <c r="FK20" s="84" t="s">
        <v>150</v>
      </c>
      <c r="FL20" s="84" t="s">
        <v>149</v>
      </c>
      <c r="FM20" s="84" t="s">
        <v>150</v>
      </c>
      <c r="FN20" s="84" t="s">
        <v>150</v>
      </c>
      <c r="FO20" s="84" t="str">
        <f t="shared" si="2"/>
        <v>Partial yes</v>
      </c>
      <c r="FP20" s="84" t="s">
        <v>149</v>
      </c>
      <c r="FQ20" s="84" t="s">
        <v>149</v>
      </c>
      <c r="FR20" s="84" t="s">
        <v>832</v>
      </c>
      <c r="FS20" s="84" t="str">
        <f t="shared" si="3"/>
        <v>Yes</v>
      </c>
      <c r="FT20" s="84" t="s">
        <v>149</v>
      </c>
      <c r="FU20" s="84" t="s">
        <v>832</v>
      </c>
      <c r="FV20" s="84" t="str">
        <f t="shared" si="4"/>
        <v>Yes</v>
      </c>
      <c r="FW20" s="84" t="str">
        <f t="shared" si="5"/>
        <v>Yes</v>
      </c>
      <c r="FX20" s="84" t="str">
        <f t="shared" si="29"/>
        <v>No</v>
      </c>
      <c r="FY20" s="84" t="str">
        <f t="shared" si="34"/>
        <v>No</v>
      </c>
      <c r="FZ20" s="84" t="str">
        <f t="shared" si="7"/>
        <v>Partial yes</v>
      </c>
      <c r="GA20" s="84" t="s">
        <v>150</v>
      </c>
      <c r="GB20" s="84" t="str">
        <f t="shared" si="35"/>
        <v>No</v>
      </c>
      <c r="GC20" s="84" t="s">
        <v>150</v>
      </c>
      <c r="GD20" s="84" t="str">
        <f t="shared" si="33"/>
        <v>No</v>
      </c>
      <c r="GE20" s="84" t="s">
        <v>150</v>
      </c>
      <c r="GF20" s="84" t="str">
        <f t="shared" si="31"/>
        <v>No</v>
      </c>
      <c r="GG20" s="84" t="s">
        <v>150</v>
      </c>
      <c r="GH20" s="84" t="str">
        <f t="shared" si="37"/>
        <v>No</v>
      </c>
      <c r="GI20" s="84" t="s">
        <v>149</v>
      </c>
      <c r="GJ20" s="84" t="s">
        <v>832</v>
      </c>
      <c r="GK20" s="84" t="str">
        <f t="shared" si="10"/>
        <v>Yes</v>
      </c>
      <c r="GL20" s="84" t="s">
        <v>150</v>
      </c>
      <c r="GM20" s="84" t="s">
        <v>150</v>
      </c>
      <c r="GN20" s="84" t="str">
        <f t="shared" si="36"/>
        <v>No</v>
      </c>
      <c r="GO20" s="84" t="s">
        <v>150</v>
      </c>
      <c r="GP20" s="84" t="s">
        <v>832</v>
      </c>
      <c r="GQ20" s="84" t="str">
        <f t="shared" si="12"/>
        <v>No</v>
      </c>
      <c r="GR20" s="84" t="s">
        <v>149</v>
      </c>
      <c r="GS20" s="84" t="str">
        <f t="shared" si="38"/>
        <v>Yes</v>
      </c>
      <c r="GT20" s="84" t="s">
        <v>149</v>
      </c>
      <c r="GU20" s="84" t="s">
        <v>149</v>
      </c>
      <c r="GV20" s="84" t="s">
        <v>149</v>
      </c>
      <c r="GW20" s="84" t="s">
        <v>149</v>
      </c>
      <c r="GX20" s="84" t="s">
        <v>149</v>
      </c>
      <c r="GY20" s="84" t="s">
        <v>149</v>
      </c>
      <c r="GZ20" s="84" t="s">
        <v>149</v>
      </c>
      <c r="HA20" s="84" t="str">
        <f t="shared" si="14"/>
        <v>Yes</v>
      </c>
      <c r="HB20" s="84" t="s">
        <v>150</v>
      </c>
      <c r="HC20" s="84" t="str">
        <f>HB20</f>
        <v>No</v>
      </c>
      <c r="HD20" s="84" t="s">
        <v>149</v>
      </c>
      <c r="HE20" s="84" t="str">
        <f t="shared" si="39"/>
        <v>Yes</v>
      </c>
      <c r="HF20" s="84" t="s">
        <v>832</v>
      </c>
      <c r="HG20" s="84" t="s">
        <v>832</v>
      </c>
      <c r="HH20" s="84" t="s">
        <v>832</v>
      </c>
      <c r="HI20" s="84" t="s">
        <v>832</v>
      </c>
      <c r="HJ20" s="84" t="s">
        <v>150</v>
      </c>
      <c r="HK20" s="84" t="s">
        <v>832</v>
      </c>
      <c r="HL20" s="84" t="s">
        <v>832</v>
      </c>
      <c r="HM20" s="84" t="s">
        <v>149</v>
      </c>
      <c r="HN20" s="84" t="str">
        <f t="shared" si="16"/>
        <v>Partial yes</v>
      </c>
      <c r="HO20" s="84" t="s">
        <v>149</v>
      </c>
      <c r="HP20" s="84" t="str">
        <f t="shared" si="40"/>
        <v>Yes</v>
      </c>
      <c r="HQ20" s="84" t="s">
        <v>149</v>
      </c>
      <c r="HR20" s="84" t="str">
        <f t="shared" si="18"/>
        <v>Yes</v>
      </c>
      <c r="HS20" s="84" t="s">
        <v>149</v>
      </c>
      <c r="HT20" s="84" t="str">
        <f t="shared" si="19"/>
        <v>Yes</v>
      </c>
      <c r="HU20" s="84" t="s">
        <v>149</v>
      </c>
      <c r="HV20" s="84" t="s">
        <v>149</v>
      </c>
      <c r="HW20" s="100" t="s">
        <v>832</v>
      </c>
      <c r="HX20" s="84" t="s">
        <v>149</v>
      </c>
      <c r="HY20" s="84" t="s">
        <v>149</v>
      </c>
      <c r="HZ20" s="84" t="str">
        <f t="shared" si="20"/>
        <v>Partial yes</v>
      </c>
      <c r="IA20" s="84" t="s">
        <v>150</v>
      </c>
      <c r="IB20" s="84" t="str">
        <f t="shared" si="41"/>
        <v>No</v>
      </c>
      <c r="IC20" s="84" t="s">
        <v>149</v>
      </c>
      <c r="ID20" s="84" t="str">
        <f>IC20</f>
        <v>Yes</v>
      </c>
      <c r="IE20" s="84" t="s">
        <v>832</v>
      </c>
      <c r="IF20" s="84" t="s">
        <v>832</v>
      </c>
      <c r="IG20" s="84" t="s">
        <v>832</v>
      </c>
      <c r="IH20" s="84" t="s">
        <v>832</v>
      </c>
      <c r="II20" s="84" t="s">
        <v>832</v>
      </c>
      <c r="IJ20" s="84" t="s">
        <v>149</v>
      </c>
      <c r="IK20" s="84" t="s">
        <v>149</v>
      </c>
      <c r="IL20" s="84" t="s">
        <v>149</v>
      </c>
      <c r="IM20" s="84" t="s">
        <v>150</v>
      </c>
      <c r="IN20" s="84" t="s">
        <v>149</v>
      </c>
      <c r="IP20" s="84" t="s">
        <v>150</v>
      </c>
      <c r="IR20" s="84" t="str">
        <f t="shared" si="23"/>
        <v>Partial yes</v>
      </c>
      <c r="IS20" s="84" t="s">
        <v>150</v>
      </c>
      <c r="IT20" s="84" t="s">
        <v>150</v>
      </c>
      <c r="IU20" s="84" t="s">
        <v>150</v>
      </c>
      <c r="IV20" s="84" t="str">
        <f t="shared" si="24"/>
        <v>No</v>
      </c>
      <c r="IW20" s="84" t="s">
        <v>149</v>
      </c>
      <c r="IX20" s="84" t="s">
        <v>149</v>
      </c>
      <c r="IY20" s="84" t="str">
        <f t="shared" si="25"/>
        <v>Yes</v>
      </c>
      <c r="IZ20" s="84" t="s">
        <v>149</v>
      </c>
      <c r="JA20" s="84" t="s">
        <v>149</v>
      </c>
      <c r="JB20" s="84" t="str">
        <f t="shared" si="26"/>
        <v>Yes</v>
      </c>
      <c r="JC20" s="84" t="s">
        <v>150</v>
      </c>
      <c r="JD20" s="84" t="s">
        <v>832</v>
      </c>
      <c r="JE20" s="84" t="str">
        <f t="shared" si="27"/>
        <v>No</v>
      </c>
      <c r="JF20" s="84" t="s">
        <v>149</v>
      </c>
      <c r="JG20" s="84" t="s">
        <v>149</v>
      </c>
      <c r="JH20" s="51" t="s">
        <v>150</v>
      </c>
    </row>
    <row r="21" spans="1:268" s="84" customFormat="1" ht="16" x14ac:dyDescent="0.25">
      <c r="A21" s="83">
        <v>25</v>
      </c>
      <c r="B21" s="84" t="s">
        <v>396</v>
      </c>
      <c r="C21" s="84" t="s">
        <v>397</v>
      </c>
      <c r="D21" s="84" t="s">
        <v>398</v>
      </c>
      <c r="E21" s="85">
        <v>44705</v>
      </c>
      <c r="F21" s="84" t="s">
        <v>399</v>
      </c>
      <c r="G21" s="84" t="s">
        <v>149</v>
      </c>
      <c r="H21" s="84" t="s">
        <v>150</v>
      </c>
      <c r="I21" s="84" t="s">
        <v>513</v>
      </c>
      <c r="J21" s="84" t="s">
        <v>172</v>
      </c>
      <c r="K21" s="86" t="s">
        <v>203</v>
      </c>
      <c r="L21" s="84" t="s">
        <v>154</v>
      </c>
      <c r="M21" s="86" t="s">
        <v>514</v>
      </c>
      <c r="N21" s="84" t="s">
        <v>348</v>
      </c>
      <c r="O21" s="86" t="s">
        <v>514</v>
      </c>
      <c r="P21" s="84" t="s">
        <v>158</v>
      </c>
      <c r="Q21" s="84" t="s">
        <v>206</v>
      </c>
      <c r="R21" s="88"/>
      <c r="T21" s="88" t="s">
        <v>150</v>
      </c>
      <c r="U21" s="84" t="s">
        <v>149</v>
      </c>
      <c r="V21" s="84" t="s">
        <v>150</v>
      </c>
      <c r="W21" s="84" t="s">
        <v>150</v>
      </c>
      <c r="X21" s="84" t="s">
        <v>150</v>
      </c>
      <c r="Y21" s="84" t="s">
        <v>150</v>
      </c>
      <c r="Z21" s="84" t="s">
        <v>150</v>
      </c>
      <c r="AA21" s="89"/>
      <c r="AB21" s="84" t="s">
        <v>149</v>
      </c>
      <c r="AC21" s="84" t="s">
        <v>150</v>
      </c>
      <c r="AD21" s="84" t="s">
        <v>150</v>
      </c>
      <c r="AE21" s="84" t="s">
        <v>150</v>
      </c>
      <c r="AF21" s="89"/>
      <c r="AH21" s="90" t="s">
        <v>160</v>
      </c>
      <c r="AI21" s="146" t="s">
        <v>150</v>
      </c>
      <c r="AJ21" s="87" t="s">
        <v>150</v>
      </c>
      <c r="AL21" s="92"/>
      <c r="AM21" s="84" t="s">
        <v>149</v>
      </c>
      <c r="AN21" s="85">
        <v>44204</v>
      </c>
      <c r="AO21" s="84" t="s">
        <v>149</v>
      </c>
      <c r="AP21" s="84" t="s">
        <v>515</v>
      </c>
      <c r="AQ21" s="86"/>
      <c r="AR21" s="91"/>
      <c r="AS21" s="84" t="s">
        <v>149</v>
      </c>
      <c r="AT21" s="84" t="s">
        <v>149</v>
      </c>
      <c r="AU21" s="84" t="s">
        <v>149</v>
      </c>
      <c r="AV21" s="84" t="s">
        <v>150</v>
      </c>
      <c r="AW21" s="84" t="s">
        <v>150</v>
      </c>
      <c r="AX21" s="84" t="s">
        <v>149</v>
      </c>
      <c r="AY21" s="92" t="s">
        <v>149</v>
      </c>
      <c r="AZ21" s="84" t="s">
        <v>149</v>
      </c>
      <c r="BA21" s="84" t="s">
        <v>149</v>
      </c>
      <c r="BB21" s="84" t="s">
        <v>150</v>
      </c>
      <c r="BC21" s="84" t="s">
        <v>149</v>
      </c>
      <c r="BD21" s="84" t="s">
        <v>149</v>
      </c>
      <c r="BE21" s="84" t="s">
        <v>149</v>
      </c>
      <c r="BF21" s="84" t="s">
        <v>150</v>
      </c>
      <c r="BG21" s="87" t="s">
        <v>149</v>
      </c>
      <c r="BH21" s="84" t="s">
        <v>149</v>
      </c>
      <c r="BI21" s="84" t="s">
        <v>149</v>
      </c>
      <c r="BJ21" s="86" t="s">
        <v>149</v>
      </c>
      <c r="BK21" s="84" t="s">
        <v>150</v>
      </c>
      <c r="BL21" s="84" t="s">
        <v>149</v>
      </c>
      <c r="BM21" s="87" t="s">
        <v>149</v>
      </c>
      <c r="BN21" s="84" t="s">
        <v>149</v>
      </c>
      <c r="BO21" s="84" t="s">
        <v>149</v>
      </c>
      <c r="BP21" s="84" t="s">
        <v>149</v>
      </c>
      <c r="BR21" s="84" t="s">
        <v>150</v>
      </c>
      <c r="BS21" s="84" t="s">
        <v>516</v>
      </c>
      <c r="BT21" s="87" t="s">
        <v>163</v>
      </c>
      <c r="BU21" s="84" t="s">
        <v>164</v>
      </c>
      <c r="BW21" s="92"/>
      <c r="BX21" s="86" t="s">
        <v>165</v>
      </c>
      <c r="BY21" s="84" t="s">
        <v>150</v>
      </c>
      <c r="BZ21" s="93" t="s">
        <v>517</v>
      </c>
      <c r="CA21" s="94">
        <v>3502</v>
      </c>
      <c r="CB21" s="92">
        <v>31</v>
      </c>
      <c r="CC21" s="84">
        <v>6</v>
      </c>
      <c r="CD21" s="95">
        <v>25</v>
      </c>
      <c r="CE21" s="85">
        <v>44528</v>
      </c>
      <c r="CF21" s="84" t="s">
        <v>150</v>
      </c>
      <c r="CH21" s="86"/>
      <c r="CI21" s="84" t="s">
        <v>150</v>
      </c>
      <c r="CJ21" s="92"/>
      <c r="CK21" s="84" t="s">
        <v>149</v>
      </c>
      <c r="CL21" s="92" t="s">
        <v>368</v>
      </c>
      <c r="CM21" s="92" t="s">
        <v>149</v>
      </c>
      <c r="CN21" s="96" t="s">
        <v>150</v>
      </c>
      <c r="CU21" s="97"/>
      <c r="CV21" s="87" t="s">
        <v>149</v>
      </c>
      <c r="CW21" s="97" t="s">
        <v>150</v>
      </c>
      <c r="CX21" s="97"/>
      <c r="DC21" s="97"/>
      <c r="DD21" s="87" t="s">
        <v>150</v>
      </c>
      <c r="DE21" s="97" t="s">
        <v>150</v>
      </c>
      <c r="DF21" s="97"/>
      <c r="DJ21" s="96"/>
      <c r="DK21" s="86"/>
      <c r="DL21" s="84" t="s">
        <v>150</v>
      </c>
      <c r="DM21" s="97" t="s">
        <v>150</v>
      </c>
      <c r="DN21" s="97"/>
      <c r="DS21" s="97"/>
      <c r="DT21" s="90" t="s">
        <v>150</v>
      </c>
      <c r="DU21" s="84" t="s">
        <v>150</v>
      </c>
      <c r="DW21" s="84" t="s">
        <v>150</v>
      </c>
      <c r="DX21" s="84" t="s">
        <v>704</v>
      </c>
      <c r="DY21" s="87" t="s">
        <v>150</v>
      </c>
      <c r="DZ21" s="84" t="s">
        <v>150</v>
      </c>
      <c r="EB21" s="86"/>
      <c r="EC21" s="87" t="s">
        <v>150</v>
      </c>
      <c r="ED21" s="97"/>
      <c r="EI21" s="96" t="s">
        <v>150</v>
      </c>
      <c r="EJ21" s="97"/>
      <c r="EN21" s="96"/>
      <c r="EO21" s="96"/>
      <c r="EP21" s="125"/>
      <c r="EQ21" s="126" t="s">
        <v>150</v>
      </c>
      <c r="ER21" s="135" t="s">
        <v>166</v>
      </c>
      <c r="ES21" s="84" t="s">
        <v>166</v>
      </c>
      <c r="ET21" s="84" t="s">
        <v>166</v>
      </c>
      <c r="EU21" s="86" t="s">
        <v>171</v>
      </c>
      <c r="EV21" s="145" t="s">
        <v>166</v>
      </c>
      <c r="EW21" s="42" t="str">
        <f t="shared" si="0"/>
        <v>High</v>
      </c>
      <c r="EX21" s="141"/>
      <c r="EY21" s="84" t="s">
        <v>150</v>
      </c>
      <c r="EZ21" s="84" t="s">
        <v>150</v>
      </c>
      <c r="FA21" s="84" t="s">
        <v>150</v>
      </c>
      <c r="FB21" s="86" t="str">
        <f t="shared" si="1"/>
        <v>No</v>
      </c>
      <c r="FC21" s="84" t="s">
        <v>149</v>
      </c>
      <c r="FD21" s="84" t="s">
        <v>149</v>
      </c>
      <c r="FE21" s="84" t="s">
        <v>149</v>
      </c>
      <c r="FF21" s="84" t="s">
        <v>150</v>
      </c>
      <c r="FG21" s="84" t="s">
        <v>150</v>
      </c>
      <c r="FH21" s="84" t="s">
        <v>150</v>
      </c>
      <c r="FI21" s="84" t="s">
        <v>149</v>
      </c>
      <c r="FJ21" s="84" t="s">
        <v>150</v>
      </c>
      <c r="FK21" s="84" t="s">
        <v>149</v>
      </c>
      <c r="FL21" s="84" t="s">
        <v>150</v>
      </c>
      <c r="FM21" s="84" t="s">
        <v>150</v>
      </c>
      <c r="FN21" s="84" t="s">
        <v>149</v>
      </c>
      <c r="FO21" s="84" t="str">
        <f t="shared" si="2"/>
        <v>Partial yes</v>
      </c>
      <c r="FP21" s="84" t="s">
        <v>149</v>
      </c>
      <c r="FQ21" s="84" t="s">
        <v>150</v>
      </c>
      <c r="FR21" s="84" t="s">
        <v>832</v>
      </c>
      <c r="FS21" s="84" t="str">
        <f t="shared" si="3"/>
        <v>Partial yes</v>
      </c>
      <c r="FT21" s="84" t="s">
        <v>149</v>
      </c>
      <c r="FU21" s="84" t="s">
        <v>832</v>
      </c>
      <c r="FV21" s="84" t="str">
        <f t="shared" si="4"/>
        <v>Yes</v>
      </c>
      <c r="FW21" s="84" t="str">
        <f t="shared" si="5"/>
        <v>Yes</v>
      </c>
      <c r="FX21" s="84" t="str">
        <f t="shared" si="29"/>
        <v>No</v>
      </c>
      <c r="FY21" s="84" t="str">
        <f t="shared" si="34"/>
        <v>No</v>
      </c>
      <c r="FZ21" s="84" t="str">
        <f t="shared" si="7"/>
        <v>Partial yes</v>
      </c>
      <c r="GA21" s="84" t="s">
        <v>149</v>
      </c>
      <c r="GB21" s="84" t="str">
        <f t="shared" si="35"/>
        <v>Yes</v>
      </c>
      <c r="GC21" s="84" t="s">
        <v>149</v>
      </c>
      <c r="GD21" s="84" t="str">
        <f t="shared" si="33"/>
        <v>Yes</v>
      </c>
      <c r="GE21" s="84" t="s">
        <v>149</v>
      </c>
      <c r="GF21" s="84" t="str">
        <f t="shared" si="31"/>
        <v>Yes</v>
      </c>
      <c r="GG21" s="84" t="s">
        <v>149</v>
      </c>
      <c r="GH21" s="84" t="str">
        <f t="shared" si="37"/>
        <v>Yes</v>
      </c>
      <c r="GI21" s="84" t="s">
        <v>149</v>
      </c>
      <c r="GJ21" s="84" t="s">
        <v>832</v>
      </c>
      <c r="GK21" s="84" t="str">
        <f t="shared" si="10"/>
        <v>Yes</v>
      </c>
      <c r="GL21" s="84" t="s">
        <v>149</v>
      </c>
      <c r="GM21" s="84" t="s">
        <v>149</v>
      </c>
      <c r="GN21" s="84" t="str">
        <f t="shared" si="36"/>
        <v>Yes</v>
      </c>
      <c r="GO21" s="84" t="s">
        <v>149</v>
      </c>
      <c r="GP21" s="84" t="s">
        <v>832</v>
      </c>
      <c r="GQ21" s="84" t="str">
        <f t="shared" si="12"/>
        <v>Yes</v>
      </c>
      <c r="GR21" s="84" t="s">
        <v>149</v>
      </c>
      <c r="GS21" s="84" t="str">
        <f t="shared" si="38"/>
        <v>Yes</v>
      </c>
      <c r="GT21" s="84" t="s">
        <v>149</v>
      </c>
      <c r="GU21" s="84" t="s">
        <v>149</v>
      </c>
      <c r="GV21" s="84" t="s">
        <v>149</v>
      </c>
      <c r="GW21" s="84" t="s">
        <v>149</v>
      </c>
      <c r="GX21" s="84" t="s">
        <v>150</v>
      </c>
      <c r="GY21" s="84" t="s">
        <v>150</v>
      </c>
      <c r="GZ21" s="84" t="s">
        <v>150</v>
      </c>
      <c r="HA21" s="84" t="str">
        <f t="shared" si="14"/>
        <v>Partial yes</v>
      </c>
      <c r="HB21" s="84" t="s">
        <v>149</v>
      </c>
      <c r="HC21" s="84" t="s">
        <v>149</v>
      </c>
      <c r="HD21" s="84" t="s">
        <v>150</v>
      </c>
      <c r="HE21" s="84" t="str">
        <f t="shared" si="39"/>
        <v>No</v>
      </c>
      <c r="HF21" s="84" t="s">
        <v>832</v>
      </c>
      <c r="HG21" s="84" t="s">
        <v>832</v>
      </c>
      <c r="HH21" s="84" t="s">
        <v>832</v>
      </c>
      <c r="HI21" s="84" t="s">
        <v>832</v>
      </c>
      <c r="HJ21" s="84" t="s">
        <v>149</v>
      </c>
      <c r="HK21" s="84" t="s">
        <v>832</v>
      </c>
      <c r="HL21" s="84" t="s">
        <v>832</v>
      </c>
      <c r="HM21" s="84" t="s">
        <v>149</v>
      </c>
      <c r="HN21" s="84" t="str">
        <f t="shared" si="16"/>
        <v>Yes</v>
      </c>
      <c r="HO21" s="84" t="s">
        <v>149</v>
      </c>
      <c r="HP21" s="84" t="str">
        <f t="shared" si="40"/>
        <v>Yes</v>
      </c>
      <c r="HQ21" s="84" t="s">
        <v>149</v>
      </c>
      <c r="HR21" s="84" t="str">
        <f t="shared" si="18"/>
        <v>Yes</v>
      </c>
      <c r="HS21" s="84" t="s">
        <v>149</v>
      </c>
      <c r="HT21" s="84" t="str">
        <f t="shared" si="19"/>
        <v>Yes</v>
      </c>
      <c r="HU21" s="84" t="s">
        <v>149</v>
      </c>
      <c r="HV21" s="84" t="s">
        <v>149</v>
      </c>
      <c r="HW21" s="100" t="s">
        <v>832</v>
      </c>
      <c r="HX21" s="84" t="s">
        <v>149</v>
      </c>
      <c r="HY21" s="84" t="s">
        <v>150</v>
      </c>
      <c r="HZ21" s="84" t="str">
        <f t="shared" si="20"/>
        <v>Partial yes</v>
      </c>
      <c r="IA21" s="84" t="s">
        <v>149</v>
      </c>
      <c r="IB21" s="84" t="str">
        <f t="shared" si="41"/>
        <v>Yes</v>
      </c>
      <c r="IC21" s="84" t="s">
        <v>150</v>
      </c>
      <c r="ID21" s="84" t="str">
        <f>IC21</f>
        <v>No</v>
      </c>
      <c r="IE21" s="84" t="s">
        <v>832</v>
      </c>
      <c r="IF21" s="84" t="s">
        <v>832</v>
      </c>
      <c r="IG21" s="84" t="s">
        <v>832</v>
      </c>
      <c r="IH21" s="84" t="s">
        <v>832</v>
      </c>
      <c r="II21" s="84" t="s">
        <v>832</v>
      </c>
      <c r="IJ21" s="84" t="s">
        <v>149</v>
      </c>
      <c r="IK21" s="84" t="s">
        <v>149</v>
      </c>
      <c r="IL21" s="84" t="s">
        <v>149</v>
      </c>
      <c r="IM21" s="84" t="s">
        <v>150</v>
      </c>
      <c r="IN21" s="84" t="s">
        <v>149</v>
      </c>
      <c r="IP21" s="84" t="s">
        <v>150</v>
      </c>
      <c r="IR21" s="84" t="str">
        <f t="shared" si="23"/>
        <v>Partial yes</v>
      </c>
      <c r="IS21" s="84" t="s">
        <v>149</v>
      </c>
      <c r="IT21" s="84" t="s">
        <v>149</v>
      </c>
      <c r="IU21" s="84" t="s">
        <v>150</v>
      </c>
      <c r="IV21" s="84" t="str">
        <f t="shared" si="24"/>
        <v>Partial yes</v>
      </c>
      <c r="IW21" s="84" t="s">
        <v>149</v>
      </c>
      <c r="IX21" s="84" t="s">
        <v>149</v>
      </c>
      <c r="IY21" s="84" t="str">
        <f t="shared" si="25"/>
        <v>Yes</v>
      </c>
      <c r="IZ21" s="84" t="s">
        <v>149</v>
      </c>
      <c r="JA21" s="84" t="s">
        <v>149</v>
      </c>
      <c r="JB21" s="84" t="str">
        <f t="shared" si="26"/>
        <v>Yes</v>
      </c>
      <c r="JC21" s="84" t="s">
        <v>149</v>
      </c>
      <c r="JD21" s="84" t="s">
        <v>832</v>
      </c>
      <c r="JE21" s="84" t="str">
        <f t="shared" si="27"/>
        <v>Yes</v>
      </c>
      <c r="JF21" s="84" t="s">
        <v>149</v>
      </c>
      <c r="JG21" s="84" t="str">
        <f>JF21</f>
        <v>Yes</v>
      </c>
      <c r="JH21" s="84" t="s">
        <v>150</v>
      </c>
    </row>
    <row r="22" spans="1:268" s="84" customFormat="1" ht="16" x14ac:dyDescent="0.25">
      <c r="A22" s="83">
        <v>16</v>
      </c>
      <c r="B22" s="84" t="s">
        <v>321</v>
      </c>
      <c r="C22" s="84" t="s">
        <v>322</v>
      </c>
      <c r="D22" s="84" t="s">
        <v>178</v>
      </c>
      <c r="E22" s="85">
        <v>44424</v>
      </c>
      <c r="F22" s="84" t="s">
        <v>323</v>
      </c>
      <c r="G22" s="84" t="s">
        <v>149</v>
      </c>
      <c r="H22" s="84" t="s">
        <v>149</v>
      </c>
      <c r="I22" s="84" t="s">
        <v>315</v>
      </c>
      <c r="J22" s="84" t="s">
        <v>202</v>
      </c>
      <c r="K22" s="86" t="s">
        <v>203</v>
      </c>
      <c r="L22" s="84" t="s">
        <v>154</v>
      </c>
      <c r="M22" s="86" t="s">
        <v>324</v>
      </c>
      <c r="N22" s="84" t="s">
        <v>717</v>
      </c>
      <c r="O22" s="86" t="s">
        <v>316</v>
      </c>
      <c r="P22" s="84" t="s">
        <v>185</v>
      </c>
      <c r="Q22" s="84" t="s">
        <v>206</v>
      </c>
      <c r="R22" s="88">
        <v>6</v>
      </c>
      <c r="S22" s="84" t="s">
        <v>325</v>
      </c>
      <c r="T22" s="88" t="s">
        <v>149</v>
      </c>
      <c r="U22" s="84" t="s">
        <v>149</v>
      </c>
      <c r="V22" s="84" t="s">
        <v>149</v>
      </c>
      <c r="W22" s="84" t="s">
        <v>149</v>
      </c>
      <c r="X22" s="84" t="s">
        <v>150</v>
      </c>
      <c r="Y22" s="84" t="s">
        <v>150</v>
      </c>
      <c r="Z22" s="84" t="s">
        <v>150</v>
      </c>
      <c r="AA22" s="89"/>
      <c r="AB22" s="84" t="s">
        <v>149</v>
      </c>
      <c r="AC22" s="84" t="s">
        <v>149</v>
      </c>
      <c r="AD22" s="84" t="s">
        <v>150</v>
      </c>
      <c r="AE22" s="84" t="s">
        <v>150</v>
      </c>
      <c r="AF22" s="89"/>
      <c r="AH22" s="90" t="s">
        <v>188</v>
      </c>
      <c r="AI22" s="146" t="s">
        <v>149</v>
      </c>
      <c r="AJ22" s="87" t="s">
        <v>150</v>
      </c>
      <c r="AL22" s="92"/>
      <c r="AM22" s="159" t="s">
        <v>149</v>
      </c>
      <c r="AN22" s="85">
        <v>44187</v>
      </c>
      <c r="AO22" s="84" t="s">
        <v>149</v>
      </c>
      <c r="AP22" s="84" t="s">
        <v>326</v>
      </c>
      <c r="AQ22" s="86"/>
      <c r="AR22" s="91"/>
      <c r="AS22" s="84" t="s">
        <v>149</v>
      </c>
      <c r="AT22" s="84" t="s">
        <v>149</v>
      </c>
      <c r="AU22" s="84" t="s">
        <v>149</v>
      </c>
      <c r="AV22" s="84" t="s">
        <v>150</v>
      </c>
      <c r="AW22" s="84" t="s">
        <v>149</v>
      </c>
      <c r="AX22" s="84" t="s">
        <v>150</v>
      </c>
      <c r="AY22" s="92" t="s">
        <v>149</v>
      </c>
      <c r="AZ22" s="84" t="s">
        <v>149</v>
      </c>
      <c r="BA22" s="84" t="s">
        <v>149</v>
      </c>
      <c r="BB22" s="84" t="s">
        <v>149</v>
      </c>
      <c r="BC22" s="84" t="s">
        <v>149</v>
      </c>
      <c r="BD22" s="84" t="s">
        <v>150</v>
      </c>
      <c r="BE22" s="84" t="s">
        <v>149</v>
      </c>
      <c r="BF22" s="84" t="s">
        <v>149</v>
      </c>
      <c r="BG22" s="87" t="s">
        <v>149</v>
      </c>
      <c r="BH22" s="84" t="s">
        <v>149</v>
      </c>
      <c r="BI22" s="84" t="s">
        <v>149</v>
      </c>
      <c r="BJ22" s="86" t="s">
        <v>149</v>
      </c>
      <c r="BK22" s="84" t="s">
        <v>149</v>
      </c>
      <c r="BL22" s="84" t="s">
        <v>149</v>
      </c>
      <c r="BM22" s="87" t="s">
        <v>149</v>
      </c>
      <c r="BN22" s="84" t="s">
        <v>149</v>
      </c>
      <c r="BO22" s="84" t="s">
        <v>149</v>
      </c>
      <c r="BP22" s="84" t="s">
        <v>149</v>
      </c>
      <c r="BR22" s="84" t="s">
        <v>191</v>
      </c>
      <c r="BT22" s="87" t="s">
        <v>163</v>
      </c>
      <c r="BU22" s="84" t="s">
        <v>164</v>
      </c>
      <c r="BW22" s="92"/>
      <c r="BX22" s="86" t="s">
        <v>165</v>
      </c>
      <c r="BY22" s="84" t="s">
        <v>149</v>
      </c>
      <c r="BZ22" s="93" t="s">
        <v>210</v>
      </c>
      <c r="CA22" s="94">
        <v>1246</v>
      </c>
      <c r="CB22" s="92">
        <v>11</v>
      </c>
      <c r="CC22" s="84">
        <v>11</v>
      </c>
      <c r="CD22" s="95">
        <v>0</v>
      </c>
      <c r="CE22" s="85">
        <v>44302</v>
      </c>
      <c r="CF22" s="84" t="s">
        <v>150</v>
      </c>
      <c r="CH22" s="86"/>
      <c r="CI22" s="84" t="s">
        <v>150</v>
      </c>
      <c r="CJ22" s="92"/>
      <c r="CK22" s="84" t="s">
        <v>149</v>
      </c>
      <c r="CL22" s="92" t="s">
        <v>220</v>
      </c>
      <c r="CM22" s="92" t="s">
        <v>149</v>
      </c>
      <c r="CN22" s="96" t="s">
        <v>150</v>
      </c>
      <c r="CU22" s="97"/>
      <c r="CV22" s="87" t="s">
        <v>150</v>
      </c>
      <c r="CW22" s="97" t="s">
        <v>150</v>
      </c>
      <c r="CX22" s="97"/>
      <c r="DC22" s="97"/>
      <c r="DD22" s="87" t="s">
        <v>150</v>
      </c>
      <c r="DE22" s="97" t="s">
        <v>150</v>
      </c>
      <c r="DF22" s="97"/>
      <c r="DJ22" s="96"/>
      <c r="DK22" s="86"/>
      <c r="DL22" s="84" t="s">
        <v>150</v>
      </c>
      <c r="DM22" s="97" t="s">
        <v>150</v>
      </c>
      <c r="DN22" s="97"/>
      <c r="DS22" s="97"/>
      <c r="DT22" s="90" t="s">
        <v>150</v>
      </c>
      <c r="DU22" s="84" t="s">
        <v>150</v>
      </c>
      <c r="DW22" s="84" t="s">
        <v>149</v>
      </c>
      <c r="DX22" s="84" t="s">
        <v>327</v>
      </c>
      <c r="DY22" s="87" t="s">
        <v>150</v>
      </c>
      <c r="DZ22" s="84" t="s">
        <v>150</v>
      </c>
      <c r="EB22" s="86"/>
      <c r="EC22" s="87" t="s">
        <v>149</v>
      </c>
      <c r="ED22" s="97" t="s">
        <v>150</v>
      </c>
      <c r="EF22" s="84" t="s">
        <v>196</v>
      </c>
      <c r="EG22" s="84" t="s">
        <v>150</v>
      </c>
      <c r="EI22" s="96" t="s">
        <v>150</v>
      </c>
      <c r="EJ22" s="97"/>
      <c r="EN22" s="96"/>
      <c r="EO22" s="96"/>
      <c r="EP22" s="125"/>
      <c r="EQ22" s="126" t="s">
        <v>149</v>
      </c>
      <c r="ER22" s="134" t="s">
        <v>166</v>
      </c>
      <c r="ES22" s="98" t="s">
        <v>166</v>
      </c>
      <c r="ET22" s="98" t="s">
        <v>166</v>
      </c>
      <c r="EU22" s="99" t="s">
        <v>166</v>
      </c>
      <c r="EV22" s="140" t="s">
        <v>166</v>
      </c>
      <c r="EW22" s="146" t="str">
        <f t="shared" si="0"/>
        <v>Low</v>
      </c>
      <c r="EX22" s="141"/>
      <c r="EY22" s="84" t="s">
        <v>150</v>
      </c>
      <c r="EZ22" s="84" t="s">
        <v>150</v>
      </c>
      <c r="FA22" s="84" t="s">
        <v>150</v>
      </c>
      <c r="FB22" s="86" t="str">
        <f t="shared" si="1"/>
        <v>No</v>
      </c>
      <c r="FC22" s="84" t="s">
        <v>149</v>
      </c>
      <c r="FD22" s="84" t="s">
        <v>149</v>
      </c>
      <c r="FE22" s="84" t="s">
        <v>149</v>
      </c>
      <c r="FF22" s="84" t="s">
        <v>149</v>
      </c>
      <c r="FG22" s="84" t="s">
        <v>149</v>
      </c>
      <c r="FH22" s="84" t="s">
        <v>150</v>
      </c>
      <c r="FI22" s="84" t="s">
        <v>149</v>
      </c>
      <c r="FJ22" s="84" t="s">
        <v>149</v>
      </c>
      <c r="FK22" s="84" t="s">
        <v>149</v>
      </c>
      <c r="FL22" s="84" t="s">
        <v>149</v>
      </c>
      <c r="FM22" s="84" t="s">
        <v>150</v>
      </c>
      <c r="FN22" s="84" t="s">
        <v>150</v>
      </c>
      <c r="FO22" s="84" t="str">
        <f t="shared" si="2"/>
        <v>Partial yes</v>
      </c>
      <c r="FP22" s="84" t="s">
        <v>149</v>
      </c>
      <c r="FQ22" s="84" t="s">
        <v>150</v>
      </c>
      <c r="FR22" s="84" t="s">
        <v>832</v>
      </c>
      <c r="FS22" s="84" t="str">
        <f t="shared" si="3"/>
        <v>Partial yes</v>
      </c>
      <c r="FT22" s="84" t="s">
        <v>149</v>
      </c>
      <c r="FU22" s="84" t="s">
        <v>832</v>
      </c>
      <c r="FV22" s="84" t="str">
        <f t="shared" si="4"/>
        <v>Yes</v>
      </c>
      <c r="FW22" s="84" t="str">
        <f t="shared" si="5"/>
        <v>Yes</v>
      </c>
      <c r="FX22" s="84" t="str">
        <f t="shared" si="29"/>
        <v>Yes</v>
      </c>
      <c r="FY22" s="84" t="str">
        <f t="shared" si="34"/>
        <v>No</v>
      </c>
      <c r="FZ22" s="84" t="str">
        <f t="shared" si="7"/>
        <v>Partial yes</v>
      </c>
      <c r="GA22" s="84" t="s">
        <v>149</v>
      </c>
      <c r="GB22" s="84" t="str">
        <f t="shared" si="35"/>
        <v>Yes</v>
      </c>
      <c r="GC22" s="84" t="s">
        <v>149</v>
      </c>
      <c r="GD22" s="84" t="str">
        <f t="shared" si="33"/>
        <v>Yes</v>
      </c>
      <c r="GE22" s="84" t="s">
        <v>149</v>
      </c>
      <c r="GF22" s="84" t="str">
        <f t="shared" si="31"/>
        <v>Yes</v>
      </c>
      <c r="GG22" s="84" t="s">
        <v>149</v>
      </c>
      <c r="GH22" s="84" t="str">
        <f t="shared" si="37"/>
        <v>Yes</v>
      </c>
      <c r="GI22" s="84" t="s">
        <v>149</v>
      </c>
      <c r="GJ22" s="84" t="s">
        <v>832</v>
      </c>
      <c r="GK22" s="84" t="str">
        <f t="shared" si="10"/>
        <v>Yes</v>
      </c>
      <c r="GL22" s="84" t="s">
        <v>149</v>
      </c>
      <c r="GM22" s="84" t="s">
        <v>149</v>
      </c>
      <c r="GN22" s="84" t="str">
        <f t="shared" si="36"/>
        <v>Yes</v>
      </c>
      <c r="GO22" s="84" t="s">
        <v>149</v>
      </c>
      <c r="GP22" s="84" t="s">
        <v>832</v>
      </c>
      <c r="GQ22" s="84" t="str">
        <f t="shared" si="12"/>
        <v>Yes</v>
      </c>
      <c r="GR22" s="84" t="s">
        <v>149</v>
      </c>
      <c r="GS22" s="84" t="str">
        <f t="shared" si="38"/>
        <v>Yes</v>
      </c>
      <c r="GT22" s="84" t="s">
        <v>149</v>
      </c>
      <c r="GU22" s="84" t="s">
        <v>149</v>
      </c>
      <c r="GV22" s="84" t="s">
        <v>149</v>
      </c>
      <c r="GW22" s="84" t="s">
        <v>149</v>
      </c>
      <c r="GX22" s="84" t="s">
        <v>150</v>
      </c>
      <c r="GY22" s="84" t="s">
        <v>149</v>
      </c>
      <c r="GZ22" s="84" t="s">
        <v>149</v>
      </c>
      <c r="HA22" s="84" t="str">
        <f t="shared" si="14"/>
        <v>Partial yes</v>
      </c>
      <c r="HB22" s="84" t="s">
        <v>149</v>
      </c>
      <c r="HC22" s="84" t="str">
        <f t="shared" ref="HC22:HC45" si="42">HB22</f>
        <v>Yes</v>
      </c>
      <c r="HD22" s="84" t="s">
        <v>149</v>
      </c>
      <c r="HE22" s="84" t="str">
        <f t="shared" si="39"/>
        <v>Yes</v>
      </c>
      <c r="HF22" s="84" t="s">
        <v>832</v>
      </c>
      <c r="HG22" s="84" t="s">
        <v>832</v>
      </c>
      <c r="HH22" s="84" t="s">
        <v>832</v>
      </c>
      <c r="HI22" s="84" t="s">
        <v>832</v>
      </c>
      <c r="HJ22" s="84" t="s">
        <v>149</v>
      </c>
      <c r="HK22" s="84" t="s">
        <v>832</v>
      </c>
      <c r="HL22" s="84" t="s">
        <v>832</v>
      </c>
      <c r="HM22" s="84" t="s">
        <v>149</v>
      </c>
      <c r="HN22" s="84" t="str">
        <f t="shared" si="16"/>
        <v>Yes</v>
      </c>
      <c r="HO22" s="84" t="s">
        <v>149</v>
      </c>
      <c r="HP22" s="84" t="str">
        <f t="shared" si="40"/>
        <v>Yes</v>
      </c>
      <c r="HQ22" s="84" t="s">
        <v>149</v>
      </c>
      <c r="HR22" s="84" t="str">
        <f t="shared" si="18"/>
        <v>Yes</v>
      </c>
      <c r="HS22" s="84" t="s">
        <v>149</v>
      </c>
      <c r="HT22" s="84" t="str">
        <f t="shared" si="19"/>
        <v>Yes</v>
      </c>
      <c r="HU22" s="84" t="s">
        <v>149</v>
      </c>
      <c r="HV22" s="84" t="s">
        <v>149</v>
      </c>
      <c r="HW22" s="100" t="s">
        <v>832</v>
      </c>
      <c r="HX22" s="84" t="s">
        <v>149</v>
      </c>
      <c r="HY22" s="84" t="s">
        <v>149</v>
      </c>
      <c r="HZ22" s="84" t="str">
        <f t="shared" si="20"/>
        <v>Partial yes</v>
      </c>
      <c r="IA22" s="84" t="s">
        <v>150</v>
      </c>
      <c r="IB22" s="84" t="str">
        <f t="shared" si="41"/>
        <v>No</v>
      </c>
      <c r="IC22" s="84" t="s">
        <v>149</v>
      </c>
      <c r="ID22" s="84" t="s">
        <v>149</v>
      </c>
      <c r="IE22" s="84" t="s">
        <v>832</v>
      </c>
      <c r="IF22" s="84" t="s">
        <v>832</v>
      </c>
      <c r="IG22" s="84" t="s">
        <v>832</v>
      </c>
      <c r="IH22" s="84" t="s">
        <v>832</v>
      </c>
      <c r="II22" s="84" t="s">
        <v>832</v>
      </c>
      <c r="IJ22" s="84" t="s">
        <v>149</v>
      </c>
      <c r="IK22" s="84" t="s">
        <v>149</v>
      </c>
      <c r="IL22" s="84" t="s">
        <v>149</v>
      </c>
      <c r="IM22" s="84" t="s">
        <v>150</v>
      </c>
      <c r="IN22" s="84" t="s">
        <v>149</v>
      </c>
      <c r="IP22" s="84" t="s">
        <v>150</v>
      </c>
      <c r="IR22" s="84" t="str">
        <f t="shared" si="23"/>
        <v>Partial yes</v>
      </c>
      <c r="IS22" s="84" t="s">
        <v>149</v>
      </c>
      <c r="IT22" s="84" t="s">
        <v>149</v>
      </c>
      <c r="IU22" s="84" t="s">
        <v>149</v>
      </c>
      <c r="IV22" s="84" t="str">
        <f t="shared" si="24"/>
        <v>Yes</v>
      </c>
      <c r="IW22" s="84" t="s">
        <v>149</v>
      </c>
      <c r="IX22" s="84" t="s">
        <v>149</v>
      </c>
      <c r="IY22" s="84" t="str">
        <f t="shared" si="25"/>
        <v>Yes</v>
      </c>
      <c r="IZ22" s="84" t="s">
        <v>149</v>
      </c>
      <c r="JA22" s="84" t="s">
        <v>149</v>
      </c>
      <c r="JB22" s="84" t="str">
        <f t="shared" si="26"/>
        <v>Yes</v>
      </c>
      <c r="JC22" s="84" t="s">
        <v>150</v>
      </c>
      <c r="JD22" s="84" t="s">
        <v>832</v>
      </c>
      <c r="JE22" s="84" t="str">
        <f t="shared" si="27"/>
        <v>No</v>
      </c>
      <c r="JF22" s="84" t="s">
        <v>149</v>
      </c>
      <c r="JG22" s="84" t="str">
        <f>JF22</f>
        <v>Yes</v>
      </c>
      <c r="JH22" s="51" t="s">
        <v>150</v>
      </c>
    </row>
    <row r="23" spans="1:268" s="84" customFormat="1" ht="16" x14ac:dyDescent="0.25">
      <c r="A23" s="83">
        <v>27</v>
      </c>
      <c r="B23" s="84" t="s">
        <v>403</v>
      </c>
      <c r="C23" s="84" t="s">
        <v>404</v>
      </c>
      <c r="D23" s="84" t="s">
        <v>405</v>
      </c>
      <c r="E23" s="85">
        <v>44732</v>
      </c>
      <c r="F23" s="84" t="s">
        <v>406</v>
      </c>
      <c r="G23" s="84" t="s">
        <v>149</v>
      </c>
      <c r="H23" s="84" t="s">
        <v>150</v>
      </c>
      <c r="I23" s="84" t="s">
        <v>527</v>
      </c>
      <c r="J23" s="84" t="s">
        <v>202</v>
      </c>
      <c r="K23" s="86" t="s">
        <v>203</v>
      </c>
      <c r="L23" s="84" t="s">
        <v>154</v>
      </c>
      <c r="M23" s="86" t="s">
        <v>528</v>
      </c>
      <c r="N23" s="84" t="s">
        <v>156</v>
      </c>
      <c r="O23" s="86" t="s">
        <v>529</v>
      </c>
      <c r="P23" s="84" t="s">
        <v>185</v>
      </c>
      <c r="Q23" s="84" t="s">
        <v>530</v>
      </c>
      <c r="R23" s="88">
        <v>2</v>
      </c>
      <c r="S23" s="84" t="s">
        <v>531</v>
      </c>
      <c r="T23" s="88" t="s">
        <v>150</v>
      </c>
      <c r="U23" s="84" t="s">
        <v>150</v>
      </c>
      <c r="V23" s="84" t="s">
        <v>149</v>
      </c>
      <c r="W23" s="84" t="s">
        <v>150</v>
      </c>
      <c r="X23" s="84" t="s">
        <v>150</v>
      </c>
      <c r="Y23" s="84" t="s">
        <v>150</v>
      </c>
      <c r="Z23" s="84" t="s">
        <v>150</v>
      </c>
      <c r="AA23" s="89"/>
      <c r="AB23" s="84" t="s">
        <v>149</v>
      </c>
      <c r="AC23" s="84" t="s">
        <v>150</v>
      </c>
      <c r="AD23" s="84" t="s">
        <v>150</v>
      </c>
      <c r="AE23" s="84" t="s">
        <v>150</v>
      </c>
      <c r="AF23" s="89"/>
      <c r="AH23" s="90" t="s">
        <v>188</v>
      </c>
      <c r="AI23" s="146" t="s">
        <v>150</v>
      </c>
      <c r="AJ23" s="87" t="s">
        <v>150</v>
      </c>
      <c r="AL23" s="92"/>
      <c r="AM23" s="84" t="s">
        <v>149</v>
      </c>
      <c r="AN23" s="85">
        <v>43993</v>
      </c>
      <c r="AO23" s="84" t="s">
        <v>149</v>
      </c>
      <c r="AP23" s="84" t="s">
        <v>532</v>
      </c>
      <c r="AQ23" s="86"/>
      <c r="AR23" s="91"/>
      <c r="AS23" s="84" t="s">
        <v>149</v>
      </c>
      <c r="AT23" s="84" t="s">
        <v>149</v>
      </c>
      <c r="AU23" s="84" t="s">
        <v>149</v>
      </c>
      <c r="AV23" s="84" t="s">
        <v>150</v>
      </c>
      <c r="AW23" s="84" t="s">
        <v>150</v>
      </c>
      <c r="AX23" s="84" t="s">
        <v>149</v>
      </c>
      <c r="AY23" s="92" t="s">
        <v>149</v>
      </c>
      <c r="AZ23" s="84" t="s">
        <v>149</v>
      </c>
      <c r="BA23" s="84" t="s">
        <v>149</v>
      </c>
      <c r="BB23" s="84" t="s">
        <v>149</v>
      </c>
      <c r="BC23" s="84" t="s">
        <v>149</v>
      </c>
      <c r="BD23" s="84" t="s">
        <v>150</v>
      </c>
      <c r="BE23" s="84" t="s">
        <v>150</v>
      </c>
      <c r="BF23" s="84" t="s">
        <v>149</v>
      </c>
      <c r="BG23" s="87" t="s">
        <v>149</v>
      </c>
      <c r="BH23" s="84" t="s">
        <v>149</v>
      </c>
      <c r="BI23" s="84" t="s">
        <v>149</v>
      </c>
      <c r="BJ23" s="86" t="s">
        <v>149</v>
      </c>
      <c r="BK23" s="84" t="s">
        <v>149</v>
      </c>
      <c r="BL23" s="84" t="s">
        <v>149</v>
      </c>
      <c r="BM23" s="87" t="s">
        <v>149</v>
      </c>
      <c r="BN23" s="84" t="s">
        <v>149</v>
      </c>
      <c r="BO23" s="84" t="s">
        <v>149</v>
      </c>
      <c r="BP23" s="84" t="s">
        <v>149</v>
      </c>
      <c r="BR23" s="84" t="s">
        <v>191</v>
      </c>
      <c r="BT23" s="87" t="s">
        <v>163</v>
      </c>
      <c r="BU23" s="84" t="s">
        <v>164</v>
      </c>
      <c r="BW23" s="92"/>
      <c r="BX23" s="86" t="s">
        <v>165</v>
      </c>
      <c r="BY23" s="84" t="s">
        <v>149</v>
      </c>
      <c r="BZ23" s="93"/>
      <c r="CA23" s="94">
        <v>1983</v>
      </c>
      <c r="CB23" s="92">
        <v>25</v>
      </c>
      <c r="CC23" s="84">
        <v>25</v>
      </c>
      <c r="CD23" s="95">
        <v>0</v>
      </c>
      <c r="CE23" s="85">
        <v>44648</v>
      </c>
      <c r="CF23" s="84" t="s">
        <v>150</v>
      </c>
      <c r="CH23" s="86"/>
      <c r="CI23" s="84" t="s">
        <v>150</v>
      </c>
      <c r="CJ23" s="92"/>
      <c r="CK23" s="84" t="s">
        <v>149</v>
      </c>
      <c r="CL23" s="92" t="s">
        <v>192</v>
      </c>
      <c r="CM23" s="92" t="s">
        <v>150</v>
      </c>
      <c r="CN23" s="96" t="s">
        <v>150</v>
      </c>
      <c r="CU23" s="97"/>
      <c r="CV23" s="87" t="s">
        <v>150</v>
      </c>
      <c r="CW23" s="97" t="s">
        <v>150</v>
      </c>
      <c r="CX23" s="97"/>
      <c r="DC23" s="97"/>
      <c r="DD23" s="87" t="s">
        <v>150</v>
      </c>
      <c r="DE23" s="97" t="s">
        <v>150</v>
      </c>
      <c r="DF23" s="97"/>
      <c r="DJ23" s="96"/>
      <c r="DK23" s="86"/>
      <c r="DL23" s="84" t="s">
        <v>150</v>
      </c>
      <c r="DM23" s="97" t="s">
        <v>150</v>
      </c>
      <c r="DN23" s="97"/>
      <c r="DS23" s="97"/>
      <c r="DT23" s="90" t="s">
        <v>150</v>
      </c>
      <c r="DU23" s="84" t="s">
        <v>150</v>
      </c>
      <c r="DW23" s="84" t="s">
        <v>149</v>
      </c>
      <c r="DX23" s="84" t="s">
        <v>833</v>
      </c>
      <c r="DY23" s="87" t="s">
        <v>150</v>
      </c>
      <c r="DZ23" s="84" t="s">
        <v>150</v>
      </c>
      <c r="EB23" s="86"/>
      <c r="EC23" s="87" t="s">
        <v>149</v>
      </c>
      <c r="ED23" s="97" t="s">
        <v>150</v>
      </c>
      <c r="EF23" s="84" t="s">
        <v>196</v>
      </c>
      <c r="EG23" s="84" t="s">
        <v>150</v>
      </c>
      <c r="EI23" s="96" t="s">
        <v>150</v>
      </c>
      <c r="EJ23" s="97"/>
      <c r="EN23" s="96"/>
      <c r="EO23" s="96"/>
      <c r="EP23" s="125"/>
      <c r="EQ23" s="126" t="s">
        <v>150</v>
      </c>
      <c r="ER23" s="135" t="s">
        <v>166</v>
      </c>
      <c r="ES23" s="84" t="s">
        <v>166</v>
      </c>
      <c r="ET23" s="84" t="s">
        <v>166</v>
      </c>
      <c r="EU23" s="86" t="s">
        <v>171</v>
      </c>
      <c r="EV23" s="145" t="s">
        <v>166</v>
      </c>
      <c r="EW23" s="42" t="str">
        <f t="shared" si="0"/>
        <v>High</v>
      </c>
      <c r="EX23" s="141"/>
      <c r="EY23" s="84" t="s">
        <v>149</v>
      </c>
      <c r="EZ23" s="84" t="s">
        <v>149</v>
      </c>
      <c r="FA23" s="84" t="s">
        <v>150</v>
      </c>
      <c r="FB23" s="86" t="str">
        <f t="shared" si="1"/>
        <v>Partial yes</v>
      </c>
      <c r="FC23" s="84" t="s">
        <v>149</v>
      </c>
      <c r="FD23" s="84" t="s">
        <v>149</v>
      </c>
      <c r="FE23" s="84" t="s">
        <v>149</v>
      </c>
      <c r="FF23" s="84" t="s">
        <v>149</v>
      </c>
      <c r="FG23" s="84" t="s">
        <v>150</v>
      </c>
      <c r="FH23" s="84" t="s">
        <v>149</v>
      </c>
      <c r="FI23" s="84" t="s">
        <v>150</v>
      </c>
      <c r="FJ23" s="84" t="s">
        <v>150</v>
      </c>
      <c r="FK23" s="84" t="s">
        <v>149</v>
      </c>
      <c r="FL23" s="84" t="s">
        <v>149</v>
      </c>
      <c r="FM23" s="84" t="s">
        <v>150</v>
      </c>
      <c r="FN23" s="84" t="s">
        <v>150</v>
      </c>
      <c r="FO23" s="84" t="str">
        <f t="shared" si="2"/>
        <v>Partial yes</v>
      </c>
      <c r="FP23" s="84" t="s">
        <v>149</v>
      </c>
      <c r="FQ23" s="84" t="s">
        <v>149</v>
      </c>
      <c r="FR23" s="84" t="s">
        <v>832</v>
      </c>
      <c r="FS23" s="84" t="str">
        <f t="shared" si="3"/>
        <v>Yes</v>
      </c>
      <c r="FT23" s="84" t="s">
        <v>149</v>
      </c>
      <c r="FU23" s="84" t="s">
        <v>832</v>
      </c>
      <c r="FV23" s="84" t="str">
        <f t="shared" si="4"/>
        <v>Yes</v>
      </c>
      <c r="FW23" s="84" t="str">
        <f t="shared" si="5"/>
        <v>Yes</v>
      </c>
      <c r="FX23" s="84" t="str">
        <f t="shared" si="29"/>
        <v>Yes</v>
      </c>
      <c r="FY23" s="84" t="str">
        <f t="shared" si="34"/>
        <v>No</v>
      </c>
      <c r="FZ23" s="84" t="str">
        <f t="shared" si="7"/>
        <v>Partial yes</v>
      </c>
      <c r="GA23" s="84" t="s">
        <v>149</v>
      </c>
      <c r="GB23" s="84" t="s">
        <v>149</v>
      </c>
      <c r="GC23" s="84" t="s">
        <v>149</v>
      </c>
      <c r="GD23" s="84" t="str">
        <f t="shared" si="33"/>
        <v>Yes</v>
      </c>
      <c r="GE23" s="84" t="s">
        <v>149</v>
      </c>
      <c r="GF23" s="84" t="str">
        <f t="shared" si="31"/>
        <v>Yes</v>
      </c>
      <c r="GG23" s="84" t="s">
        <v>149</v>
      </c>
      <c r="GH23" s="84" t="str">
        <f t="shared" si="37"/>
        <v>Yes</v>
      </c>
      <c r="GI23" s="84" t="s">
        <v>149</v>
      </c>
      <c r="GJ23" s="84" t="s">
        <v>832</v>
      </c>
      <c r="GK23" s="84" t="str">
        <f t="shared" si="10"/>
        <v>Yes</v>
      </c>
      <c r="GL23" s="84" t="s">
        <v>149</v>
      </c>
      <c r="GM23" s="84" t="s">
        <v>149</v>
      </c>
      <c r="GN23" s="84" t="str">
        <f t="shared" si="36"/>
        <v>Yes</v>
      </c>
      <c r="GO23" s="84" t="s">
        <v>149</v>
      </c>
      <c r="GP23" s="84" t="s">
        <v>832</v>
      </c>
      <c r="GQ23" s="84" t="str">
        <f t="shared" si="12"/>
        <v>Yes</v>
      </c>
      <c r="GR23" s="84" t="s">
        <v>149</v>
      </c>
      <c r="GS23" s="84" t="str">
        <f t="shared" si="38"/>
        <v>Yes</v>
      </c>
      <c r="GT23" s="84" t="s">
        <v>149</v>
      </c>
      <c r="GU23" s="84" t="s">
        <v>149</v>
      </c>
      <c r="GV23" s="84" t="s">
        <v>149</v>
      </c>
      <c r="GW23" s="84" t="s">
        <v>149</v>
      </c>
      <c r="GX23" s="84" t="s">
        <v>150</v>
      </c>
      <c r="GY23" s="84" t="s">
        <v>150</v>
      </c>
      <c r="GZ23" s="84" t="s">
        <v>150</v>
      </c>
      <c r="HA23" s="84" t="str">
        <f t="shared" si="14"/>
        <v>Partial yes</v>
      </c>
      <c r="HB23" s="84" t="s">
        <v>150</v>
      </c>
      <c r="HC23" s="84" t="str">
        <f t="shared" si="42"/>
        <v>No</v>
      </c>
      <c r="HD23" s="84" t="s">
        <v>149</v>
      </c>
      <c r="HE23" s="84" t="str">
        <f t="shared" si="39"/>
        <v>Yes</v>
      </c>
      <c r="HF23" s="84" t="s">
        <v>832</v>
      </c>
      <c r="HG23" s="84" t="s">
        <v>832</v>
      </c>
      <c r="HH23" s="84" t="s">
        <v>832</v>
      </c>
      <c r="HI23" s="84" t="s">
        <v>832</v>
      </c>
      <c r="HJ23" s="84" t="s">
        <v>149</v>
      </c>
      <c r="HK23" s="84" t="s">
        <v>832</v>
      </c>
      <c r="HL23" s="84" t="s">
        <v>832</v>
      </c>
      <c r="HM23" s="84" t="s">
        <v>149</v>
      </c>
      <c r="HN23" s="84" t="str">
        <f t="shared" si="16"/>
        <v>Yes</v>
      </c>
      <c r="HO23" s="84" t="s">
        <v>149</v>
      </c>
      <c r="HP23" s="84" t="str">
        <f t="shared" si="40"/>
        <v>Yes</v>
      </c>
      <c r="HQ23" s="84" t="s">
        <v>149</v>
      </c>
      <c r="HR23" s="84" t="str">
        <f t="shared" si="18"/>
        <v>Yes</v>
      </c>
      <c r="HS23" s="84" t="s">
        <v>149</v>
      </c>
      <c r="HT23" s="84" t="str">
        <f t="shared" si="19"/>
        <v>Yes</v>
      </c>
      <c r="HU23" s="84" t="s">
        <v>149</v>
      </c>
      <c r="HV23" s="84" t="s">
        <v>149</v>
      </c>
      <c r="HW23" s="100" t="s">
        <v>832</v>
      </c>
      <c r="HX23" s="84" t="s">
        <v>150</v>
      </c>
      <c r="HY23" s="84" t="s">
        <v>150</v>
      </c>
      <c r="HZ23" s="84" t="str">
        <f t="shared" si="20"/>
        <v>Partial yes</v>
      </c>
      <c r="IA23" s="84" t="s">
        <v>150</v>
      </c>
      <c r="IB23" s="84" t="str">
        <f t="shared" si="41"/>
        <v>No</v>
      </c>
      <c r="IC23" s="84" t="s">
        <v>149</v>
      </c>
      <c r="ID23" s="84" t="str">
        <f t="shared" ref="ID23:ID46" si="43">IC23</f>
        <v>Yes</v>
      </c>
      <c r="IE23" s="84" t="s">
        <v>832</v>
      </c>
      <c r="IF23" s="84" t="s">
        <v>832</v>
      </c>
      <c r="IG23" s="84" t="s">
        <v>832</v>
      </c>
      <c r="IH23" s="84" t="s">
        <v>832</v>
      </c>
      <c r="II23" s="84" t="s">
        <v>832</v>
      </c>
      <c r="IJ23" s="84" t="s">
        <v>149</v>
      </c>
      <c r="IK23" s="84" t="s">
        <v>149</v>
      </c>
      <c r="IL23" s="84" t="s">
        <v>149</v>
      </c>
      <c r="IM23" s="84" t="s">
        <v>150</v>
      </c>
      <c r="IN23" s="84" t="s">
        <v>149</v>
      </c>
      <c r="IP23" s="84" t="s">
        <v>150</v>
      </c>
      <c r="IR23" s="84" t="str">
        <f t="shared" si="23"/>
        <v>Partial yes</v>
      </c>
      <c r="IS23" s="84" t="s">
        <v>149</v>
      </c>
      <c r="IT23" s="84" t="s">
        <v>149</v>
      </c>
      <c r="IU23" s="84" t="s">
        <v>149</v>
      </c>
      <c r="IV23" s="84" t="str">
        <f t="shared" si="24"/>
        <v>Yes</v>
      </c>
      <c r="IW23" s="84" t="s">
        <v>149</v>
      </c>
      <c r="IX23" s="84" t="s">
        <v>149</v>
      </c>
      <c r="IY23" s="84" t="str">
        <f t="shared" si="25"/>
        <v>Yes</v>
      </c>
      <c r="IZ23" s="84" t="s">
        <v>149</v>
      </c>
      <c r="JA23" s="84" t="s">
        <v>149</v>
      </c>
      <c r="JB23" s="84" t="str">
        <f t="shared" si="26"/>
        <v>Yes</v>
      </c>
      <c r="JC23" s="84" t="s">
        <v>149</v>
      </c>
      <c r="JD23" s="84" t="s">
        <v>832</v>
      </c>
      <c r="JE23" s="84" t="str">
        <f t="shared" si="27"/>
        <v>Yes</v>
      </c>
      <c r="JF23" s="84" t="s">
        <v>149</v>
      </c>
      <c r="JG23" s="84" t="s">
        <v>149</v>
      </c>
      <c r="JH23" s="84" t="s">
        <v>150</v>
      </c>
    </row>
    <row r="24" spans="1:268" s="84" customFormat="1" ht="16" x14ac:dyDescent="0.25">
      <c r="A24" s="83">
        <v>28</v>
      </c>
      <c r="B24" s="84" t="s">
        <v>407</v>
      </c>
      <c r="C24" s="84" t="s">
        <v>408</v>
      </c>
      <c r="D24" s="84" t="s">
        <v>409</v>
      </c>
      <c r="E24" s="85">
        <v>44718</v>
      </c>
      <c r="F24" s="84" t="s">
        <v>410</v>
      </c>
      <c r="G24" s="84" t="s">
        <v>149</v>
      </c>
      <c r="H24" s="84" t="s">
        <v>150</v>
      </c>
      <c r="I24" s="84" t="s">
        <v>533</v>
      </c>
      <c r="J24" s="84" t="s">
        <v>202</v>
      </c>
      <c r="K24" s="86" t="s">
        <v>203</v>
      </c>
      <c r="L24" s="84" t="s">
        <v>154</v>
      </c>
      <c r="M24" s="86" t="s">
        <v>534</v>
      </c>
      <c r="N24" s="84" t="s">
        <v>717</v>
      </c>
      <c r="O24" s="86" t="s">
        <v>535</v>
      </c>
      <c r="P24" s="84" t="s">
        <v>185</v>
      </c>
      <c r="Q24" s="84" t="s">
        <v>206</v>
      </c>
      <c r="R24" s="88">
        <v>4</v>
      </c>
      <c r="S24" s="84" t="s">
        <v>536</v>
      </c>
      <c r="T24" s="88" t="s">
        <v>150</v>
      </c>
      <c r="U24" s="84" t="s">
        <v>149</v>
      </c>
      <c r="V24" s="84" t="s">
        <v>150</v>
      </c>
      <c r="W24" s="84" t="s">
        <v>150</v>
      </c>
      <c r="X24" s="84" t="s">
        <v>150</v>
      </c>
      <c r="Y24" s="84" t="s">
        <v>150</v>
      </c>
      <c r="Z24" s="84" t="s">
        <v>150</v>
      </c>
      <c r="AA24" s="89"/>
      <c r="AB24" s="84" t="s">
        <v>149</v>
      </c>
      <c r="AC24" s="84" t="s">
        <v>150</v>
      </c>
      <c r="AD24" s="84" t="s">
        <v>150</v>
      </c>
      <c r="AE24" s="84" t="s">
        <v>150</v>
      </c>
      <c r="AF24" s="89"/>
      <c r="AH24" s="90" t="s">
        <v>160</v>
      </c>
      <c r="AI24" s="146" t="s">
        <v>842</v>
      </c>
      <c r="AJ24" s="87" t="s">
        <v>150</v>
      </c>
      <c r="AL24" s="92"/>
      <c r="AM24" s="84" t="s">
        <v>149</v>
      </c>
      <c r="AN24" s="85">
        <v>44508</v>
      </c>
      <c r="AO24" s="84" t="s">
        <v>149</v>
      </c>
      <c r="AP24" s="84" t="s">
        <v>537</v>
      </c>
      <c r="AQ24" s="86"/>
      <c r="AR24" s="91"/>
      <c r="AS24" s="84" t="s">
        <v>149</v>
      </c>
      <c r="AT24" s="84" t="s">
        <v>149</v>
      </c>
      <c r="AU24" s="84" t="s">
        <v>149</v>
      </c>
      <c r="AV24" s="84" t="s">
        <v>150</v>
      </c>
      <c r="AW24" s="84" t="s">
        <v>150</v>
      </c>
      <c r="AX24" s="84" t="s">
        <v>150</v>
      </c>
      <c r="AY24" s="92" t="s">
        <v>149</v>
      </c>
      <c r="AZ24" s="84" t="s">
        <v>149</v>
      </c>
      <c r="BA24" s="84" t="s">
        <v>149</v>
      </c>
      <c r="BB24" s="84" t="s">
        <v>150</v>
      </c>
      <c r="BC24" s="84" t="s">
        <v>150</v>
      </c>
      <c r="BD24" s="84" t="s">
        <v>150</v>
      </c>
      <c r="BE24" s="84" t="s">
        <v>150</v>
      </c>
      <c r="BF24" s="84" t="s">
        <v>150</v>
      </c>
      <c r="BG24" s="87" t="s">
        <v>149</v>
      </c>
      <c r="BH24" s="84" t="s">
        <v>149</v>
      </c>
      <c r="BI24" s="84" t="s">
        <v>150</v>
      </c>
      <c r="BJ24" s="86" t="s">
        <v>149</v>
      </c>
      <c r="BK24" s="84" t="s">
        <v>150</v>
      </c>
      <c r="BL24" s="84" t="s">
        <v>149</v>
      </c>
      <c r="BM24" s="87" t="s">
        <v>149</v>
      </c>
      <c r="BN24" s="84" t="s">
        <v>149</v>
      </c>
      <c r="BO24" s="84" t="s">
        <v>149</v>
      </c>
      <c r="BP24" s="84" t="s">
        <v>149</v>
      </c>
      <c r="BR24" s="84" t="s">
        <v>191</v>
      </c>
      <c r="BT24" s="87" t="s">
        <v>163</v>
      </c>
      <c r="BU24" s="84" t="s">
        <v>165</v>
      </c>
      <c r="BW24" s="92"/>
      <c r="BX24" s="86" t="s">
        <v>165</v>
      </c>
      <c r="BY24" s="84" t="s">
        <v>149</v>
      </c>
      <c r="BZ24" s="93"/>
      <c r="CA24" s="94">
        <v>70</v>
      </c>
      <c r="CB24" s="92">
        <v>9</v>
      </c>
      <c r="CC24" s="84">
        <v>9</v>
      </c>
      <c r="CD24" s="95">
        <v>0</v>
      </c>
      <c r="CE24" s="85">
        <v>44583</v>
      </c>
      <c r="CF24" s="84" t="s">
        <v>150</v>
      </c>
      <c r="CH24" s="86"/>
      <c r="CI24" s="84" t="s">
        <v>150</v>
      </c>
      <c r="CJ24" s="92"/>
      <c r="CK24" s="84" t="s">
        <v>149</v>
      </c>
      <c r="CL24" s="92" t="s">
        <v>167</v>
      </c>
      <c r="CM24" s="92" t="s">
        <v>150</v>
      </c>
      <c r="CN24" s="96" t="s">
        <v>150</v>
      </c>
      <c r="CU24" s="97"/>
      <c r="CV24" s="87" t="s">
        <v>150</v>
      </c>
      <c r="CW24" s="97" t="s">
        <v>150</v>
      </c>
      <c r="CX24" s="97"/>
      <c r="DC24" s="97"/>
      <c r="DD24" s="87" t="s">
        <v>150</v>
      </c>
      <c r="DE24" s="97" t="s">
        <v>150</v>
      </c>
      <c r="DF24" s="97"/>
      <c r="DJ24" s="96"/>
      <c r="DK24" s="86"/>
      <c r="DL24" s="84" t="s">
        <v>150</v>
      </c>
      <c r="DM24" s="97" t="s">
        <v>150</v>
      </c>
      <c r="DN24" s="97"/>
      <c r="DS24" s="97"/>
      <c r="DT24" s="90" t="s">
        <v>150</v>
      </c>
      <c r="DU24" s="84" t="s">
        <v>149</v>
      </c>
      <c r="DV24" s="84" t="s">
        <v>167</v>
      </c>
      <c r="DX24" s="84" t="s">
        <v>834</v>
      </c>
      <c r="DY24" s="87" t="s">
        <v>150</v>
      </c>
      <c r="DZ24" s="84" t="s">
        <v>150</v>
      </c>
      <c r="EB24" s="86"/>
      <c r="EC24" s="87" t="s">
        <v>150</v>
      </c>
      <c r="ED24" s="97"/>
      <c r="EI24" s="96" t="s">
        <v>150</v>
      </c>
      <c r="EJ24" s="97"/>
      <c r="EN24" s="96"/>
      <c r="EO24" s="96"/>
      <c r="EP24" s="125"/>
      <c r="EQ24" s="126" t="s">
        <v>149</v>
      </c>
      <c r="ER24" s="135" t="s">
        <v>166</v>
      </c>
      <c r="ES24" s="84" t="s">
        <v>171</v>
      </c>
      <c r="ET24" s="84" t="s">
        <v>166</v>
      </c>
      <c r="EU24" s="86" t="s">
        <v>171</v>
      </c>
      <c r="EV24" s="95" t="s">
        <v>171</v>
      </c>
      <c r="EW24" s="146" t="str">
        <f t="shared" si="0"/>
        <v>High</v>
      </c>
      <c r="EX24" s="141"/>
      <c r="EY24" s="84" t="s">
        <v>149</v>
      </c>
      <c r="EZ24" s="84" t="s">
        <v>149</v>
      </c>
      <c r="FA24" s="84" t="s">
        <v>150</v>
      </c>
      <c r="FB24" s="86" t="str">
        <f t="shared" si="1"/>
        <v>Partial yes</v>
      </c>
      <c r="FC24" s="84" t="s">
        <v>149</v>
      </c>
      <c r="FD24" s="84" t="s">
        <v>149</v>
      </c>
      <c r="FE24" s="84" t="s">
        <v>149</v>
      </c>
      <c r="FF24" s="84" t="s">
        <v>149</v>
      </c>
      <c r="FG24" s="84" t="s">
        <v>149</v>
      </c>
      <c r="FH24" s="84" t="s">
        <v>149</v>
      </c>
      <c r="FI24" s="84" t="s">
        <v>149</v>
      </c>
      <c r="FJ24" s="84" t="s">
        <v>149</v>
      </c>
      <c r="FK24" s="84" t="s">
        <v>149</v>
      </c>
      <c r="FL24" s="84" t="s">
        <v>149</v>
      </c>
      <c r="FM24" s="84" t="s">
        <v>150</v>
      </c>
      <c r="FN24" s="84" t="s">
        <v>150</v>
      </c>
      <c r="FO24" s="84" t="str">
        <f t="shared" si="2"/>
        <v>Partial yes</v>
      </c>
      <c r="FP24" s="84" t="s">
        <v>149</v>
      </c>
      <c r="FQ24" s="84" t="s">
        <v>150</v>
      </c>
      <c r="FR24" s="84" t="s">
        <v>832</v>
      </c>
      <c r="FS24" s="84" t="str">
        <f t="shared" si="3"/>
        <v>Partial yes</v>
      </c>
      <c r="FT24" s="84" t="s">
        <v>149</v>
      </c>
      <c r="FU24" s="84" t="s">
        <v>832</v>
      </c>
      <c r="FV24" s="84" t="str">
        <f t="shared" si="4"/>
        <v>Yes</v>
      </c>
      <c r="FW24" s="84" t="str">
        <f t="shared" si="5"/>
        <v>Yes</v>
      </c>
      <c r="FX24" s="84" t="str">
        <f t="shared" si="29"/>
        <v>Yes</v>
      </c>
      <c r="FY24" s="84" t="str">
        <f t="shared" si="34"/>
        <v>No</v>
      </c>
      <c r="FZ24" s="84" t="str">
        <f t="shared" si="7"/>
        <v>Partial yes</v>
      </c>
      <c r="GA24" s="84" t="s">
        <v>149</v>
      </c>
      <c r="GB24" s="84" t="str">
        <f>GA24</f>
        <v>Yes</v>
      </c>
      <c r="GC24" s="84" t="s">
        <v>149</v>
      </c>
      <c r="GD24" s="84" t="str">
        <f t="shared" si="33"/>
        <v>Yes</v>
      </c>
      <c r="GE24" s="84" t="s">
        <v>149</v>
      </c>
      <c r="GF24" s="84" t="str">
        <f t="shared" si="31"/>
        <v>Yes</v>
      </c>
      <c r="GG24" s="84" t="s">
        <v>149</v>
      </c>
      <c r="GH24" s="84" t="str">
        <f t="shared" si="37"/>
        <v>Yes</v>
      </c>
      <c r="GI24" s="84" t="s">
        <v>149</v>
      </c>
      <c r="GJ24" s="84" t="s">
        <v>832</v>
      </c>
      <c r="GK24" s="84" t="str">
        <f t="shared" si="10"/>
        <v>Yes</v>
      </c>
      <c r="GL24" s="84" t="s">
        <v>150</v>
      </c>
      <c r="GM24" s="84" t="s">
        <v>150</v>
      </c>
      <c r="GN24" s="84" t="str">
        <f t="shared" si="36"/>
        <v>No</v>
      </c>
      <c r="GO24" s="84" t="s">
        <v>149</v>
      </c>
      <c r="GP24" s="84" t="s">
        <v>832</v>
      </c>
      <c r="GQ24" s="84" t="str">
        <f t="shared" si="12"/>
        <v>Yes</v>
      </c>
      <c r="GR24" s="84" t="s">
        <v>149</v>
      </c>
      <c r="GS24" s="84" t="str">
        <f t="shared" si="38"/>
        <v>Yes</v>
      </c>
      <c r="GT24" s="84" t="s">
        <v>149</v>
      </c>
      <c r="GU24" s="84" t="s">
        <v>149</v>
      </c>
      <c r="GV24" s="84" t="s">
        <v>149</v>
      </c>
      <c r="GW24" s="84" t="s">
        <v>149</v>
      </c>
      <c r="GX24" s="84" t="s">
        <v>150</v>
      </c>
      <c r="GY24" s="84" t="s">
        <v>149</v>
      </c>
      <c r="GZ24" s="84" t="s">
        <v>150</v>
      </c>
      <c r="HA24" s="84" t="str">
        <f t="shared" si="14"/>
        <v>Partial yes</v>
      </c>
      <c r="HB24" s="84" t="s">
        <v>150</v>
      </c>
      <c r="HC24" s="84" t="str">
        <f t="shared" si="42"/>
        <v>No</v>
      </c>
      <c r="HD24" s="84" t="s">
        <v>149</v>
      </c>
      <c r="HE24" s="84" t="str">
        <f t="shared" si="39"/>
        <v>Yes</v>
      </c>
      <c r="HF24" s="84" t="s">
        <v>832</v>
      </c>
      <c r="HG24" s="84" t="s">
        <v>832</v>
      </c>
      <c r="HH24" s="84" t="s">
        <v>832</v>
      </c>
      <c r="HI24" s="84" t="s">
        <v>832</v>
      </c>
      <c r="HJ24" s="84" t="s">
        <v>149</v>
      </c>
      <c r="HK24" s="84" t="s">
        <v>832</v>
      </c>
      <c r="HL24" s="84" t="s">
        <v>832</v>
      </c>
      <c r="HM24" s="84" t="s">
        <v>149</v>
      </c>
      <c r="HN24" s="84" t="str">
        <f t="shared" si="16"/>
        <v>Yes</v>
      </c>
      <c r="HO24" s="84" t="s">
        <v>149</v>
      </c>
      <c r="HP24" s="84" t="str">
        <f t="shared" si="40"/>
        <v>Yes</v>
      </c>
      <c r="HQ24" s="84" t="s">
        <v>149</v>
      </c>
      <c r="HR24" s="84" t="str">
        <f t="shared" si="18"/>
        <v>Yes</v>
      </c>
      <c r="HS24" s="84" t="s">
        <v>149</v>
      </c>
      <c r="HT24" s="84" t="str">
        <f t="shared" si="19"/>
        <v>Yes</v>
      </c>
      <c r="HU24" s="84" t="s">
        <v>149</v>
      </c>
      <c r="HV24" s="84" t="s">
        <v>149</v>
      </c>
      <c r="HW24" s="100" t="s">
        <v>832</v>
      </c>
      <c r="HX24" s="84" t="s">
        <v>149</v>
      </c>
      <c r="HY24" s="84" t="s">
        <v>150</v>
      </c>
      <c r="HZ24" s="84" t="str">
        <f t="shared" si="20"/>
        <v>Partial yes</v>
      </c>
      <c r="IA24" s="84" t="s">
        <v>150</v>
      </c>
      <c r="IB24" s="84" t="str">
        <f t="shared" si="41"/>
        <v>No</v>
      </c>
      <c r="IC24" s="84" t="s">
        <v>149</v>
      </c>
      <c r="ID24" s="84" t="str">
        <f t="shared" si="43"/>
        <v>Yes</v>
      </c>
      <c r="IE24" s="84" t="s">
        <v>832</v>
      </c>
      <c r="IF24" s="84" t="s">
        <v>832</v>
      </c>
      <c r="IG24" s="84" t="s">
        <v>832</v>
      </c>
      <c r="IH24" s="84" t="s">
        <v>832</v>
      </c>
      <c r="II24" s="84" t="s">
        <v>832</v>
      </c>
      <c r="IJ24" s="84" t="s">
        <v>149</v>
      </c>
      <c r="IK24" s="84" t="s">
        <v>149</v>
      </c>
      <c r="IL24" s="84" t="s">
        <v>149</v>
      </c>
      <c r="IM24" s="84" t="s">
        <v>150</v>
      </c>
      <c r="IN24" s="84" t="s">
        <v>149</v>
      </c>
      <c r="IP24" s="84" t="s">
        <v>150</v>
      </c>
      <c r="IR24" s="84" t="str">
        <f t="shared" si="23"/>
        <v>Partial yes</v>
      </c>
      <c r="IS24" s="84" t="s">
        <v>149</v>
      </c>
      <c r="IT24" s="84" t="s">
        <v>149</v>
      </c>
      <c r="IU24" s="84" t="s">
        <v>150</v>
      </c>
      <c r="IV24" s="84" t="str">
        <f t="shared" si="24"/>
        <v>Partial yes</v>
      </c>
      <c r="IW24" s="84" t="s">
        <v>149</v>
      </c>
      <c r="IX24" s="84" t="s">
        <v>149</v>
      </c>
      <c r="IY24" s="84" t="str">
        <f t="shared" si="25"/>
        <v>Yes</v>
      </c>
      <c r="IZ24" s="84" t="s">
        <v>149</v>
      </c>
      <c r="JA24" s="84" t="s">
        <v>149</v>
      </c>
      <c r="JB24" s="84" t="str">
        <f t="shared" si="26"/>
        <v>Yes</v>
      </c>
      <c r="JC24" s="84" t="s">
        <v>150</v>
      </c>
      <c r="JD24" s="84" t="s">
        <v>832</v>
      </c>
      <c r="JE24" s="84" t="str">
        <f t="shared" si="27"/>
        <v>No</v>
      </c>
      <c r="JF24" s="84" t="s">
        <v>149</v>
      </c>
      <c r="JG24" s="84" t="str">
        <f>JF24</f>
        <v>Yes</v>
      </c>
      <c r="JH24" s="51" t="s">
        <v>150</v>
      </c>
    </row>
    <row r="25" spans="1:268" s="84" customFormat="1" ht="16" x14ac:dyDescent="0.25">
      <c r="A25" s="83">
        <v>21</v>
      </c>
      <c r="B25" s="84" t="s">
        <v>369</v>
      </c>
      <c r="C25" s="84" t="s">
        <v>370</v>
      </c>
      <c r="D25" s="84" t="s">
        <v>178</v>
      </c>
      <c r="E25" s="85">
        <v>44487</v>
      </c>
      <c r="F25" s="84" t="s">
        <v>371</v>
      </c>
      <c r="G25" s="84" t="s">
        <v>149</v>
      </c>
      <c r="H25" s="84" t="s">
        <v>149</v>
      </c>
      <c r="I25" s="84" t="s">
        <v>315</v>
      </c>
      <c r="J25" s="84" t="s">
        <v>202</v>
      </c>
      <c r="K25" s="86" t="s">
        <v>203</v>
      </c>
      <c r="L25" s="84" t="s">
        <v>154</v>
      </c>
      <c r="M25" s="86" t="s">
        <v>372</v>
      </c>
      <c r="N25" s="84" t="s">
        <v>717</v>
      </c>
      <c r="O25" s="86" t="s">
        <v>373</v>
      </c>
      <c r="P25" s="84" t="s">
        <v>185</v>
      </c>
      <c r="Q25" s="84" t="s">
        <v>206</v>
      </c>
      <c r="R25" s="88">
        <v>8</v>
      </c>
      <c r="S25" s="84" t="s">
        <v>374</v>
      </c>
      <c r="T25" s="88" t="s">
        <v>149</v>
      </c>
      <c r="U25" s="84" t="s">
        <v>149</v>
      </c>
      <c r="V25" s="84" t="s">
        <v>149</v>
      </c>
      <c r="W25" s="84" t="s">
        <v>149</v>
      </c>
      <c r="X25" s="84" t="s">
        <v>150</v>
      </c>
      <c r="Y25" s="84" t="s">
        <v>150</v>
      </c>
      <c r="Z25" s="84" t="s">
        <v>150</v>
      </c>
      <c r="AA25" s="89"/>
      <c r="AB25" s="84" t="s">
        <v>149</v>
      </c>
      <c r="AC25" s="84" t="s">
        <v>149</v>
      </c>
      <c r="AD25" s="84" t="s">
        <v>149</v>
      </c>
      <c r="AE25" s="84" t="s">
        <v>150</v>
      </c>
      <c r="AF25" s="89"/>
      <c r="AH25" s="90" t="s">
        <v>188</v>
      </c>
      <c r="AI25" s="146" t="s">
        <v>149</v>
      </c>
      <c r="AJ25" s="165" t="s">
        <v>150</v>
      </c>
      <c r="AL25" s="92"/>
      <c r="AM25" s="159" t="s">
        <v>149</v>
      </c>
      <c r="AN25" s="85">
        <v>44252</v>
      </c>
      <c r="AO25" s="84" t="s">
        <v>149</v>
      </c>
      <c r="AP25" s="84" t="s">
        <v>375</v>
      </c>
      <c r="AQ25" s="86"/>
      <c r="AR25" s="91" t="s">
        <v>376</v>
      </c>
      <c r="AS25" s="84" t="s">
        <v>149</v>
      </c>
      <c r="AT25" s="84" t="s">
        <v>149</v>
      </c>
      <c r="AU25" s="84" t="s">
        <v>149</v>
      </c>
      <c r="AV25" s="84" t="s">
        <v>150</v>
      </c>
      <c r="AW25" s="84" t="s">
        <v>149</v>
      </c>
      <c r="AX25" s="84" t="s">
        <v>149</v>
      </c>
      <c r="AY25" s="92" t="s">
        <v>149</v>
      </c>
      <c r="AZ25" s="84" t="s">
        <v>149</v>
      </c>
      <c r="BA25" s="84" t="s">
        <v>149</v>
      </c>
      <c r="BB25" s="84" t="s">
        <v>149</v>
      </c>
      <c r="BC25" s="84" t="s">
        <v>149</v>
      </c>
      <c r="BD25" s="84" t="s">
        <v>150</v>
      </c>
      <c r="BE25" s="84" t="s">
        <v>150</v>
      </c>
      <c r="BF25" s="84" t="s">
        <v>149</v>
      </c>
      <c r="BG25" s="87" t="s">
        <v>149</v>
      </c>
      <c r="BH25" s="84" t="s">
        <v>149</v>
      </c>
      <c r="BI25" s="84" t="s">
        <v>149</v>
      </c>
      <c r="BJ25" s="86" t="s">
        <v>149</v>
      </c>
      <c r="BK25" s="84" t="s">
        <v>149</v>
      </c>
      <c r="BL25" s="84" t="s">
        <v>149</v>
      </c>
      <c r="BM25" s="87" t="s">
        <v>149</v>
      </c>
      <c r="BN25" s="84" t="s">
        <v>149</v>
      </c>
      <c r="BO25" s="84" t="s">
        <v>149</v>
      </c>
      <c r="BP25" s="84" t="s">
        <v>149</v>
      </c>
      <c r="BR25" s="84" t="s">
        <v>191</v>
      </c>
      <c r="BT25" s="87" t="s">
        <v>163</v>
      </c>
      <c r="BU25" s="84" t="s">
        <v>165</v>
      </c>
      <c r="BW25" s="92"/>
      <c r="BX25" s="86" t="s">
        <v>165</v>
      </c>
      <c r="BY25" s="84" t="s">
        <v>149</v>
      </c>
      <c r="BZ25" s="93"/>
      <c r="CA25" s="94">
        <v>228</v>
      </c>
      <c r="CB25" s="92">
        <v>4</v>
      </c>
      <c r="CC25" s="84">
        <v>4</v>
      </c>
      <c r="CD25" s="95">
        <v>0</v>
      </c>
      <c r="CE25" s="85">
        <v>44337</v>
      </c>
      <c r="CF25" s="84" t="s">
        <v>150</v>
      </c>
      <c r="CH25" s="86"/>
      <c r="CI25" s="84" t="s">
        <v>150</v>
      </c>
      <c r="CJ25" s="92"/>
      <c r="CK25" s="84" t="s">
        <v>149</v>
      </c>
      <c r="CL25" s="92" t="s">
        <v>220</v>
      </c>
      <c r="CM25" s="92" t="s">
        <v>150</v>
      </c>
      <c r="CN25" s="96" t="s">
        <v>150</v>
      </c>
      <c r="CU25" s="97"/>
      <c r="CV25" s="87" t="s">
        <v>150</v>
      </c>
      <c r="CW25" s="97" t="s">
        <v>150</v>
      </c>
      <c r="CX25" s="97"/>
      <c r="DC25" s="97"/>
      <c r="DD25" s="87" t="s">
        <v>150</v>
      </c>
      <c r="DE25" s="97" t="s">
        <v>150</v>
      </c>
      <c r="DF25" s="97"/>
      <c r="DJ25" s="96"/>
      <c r="DK25" s="86"/>
      <c r="DL25" s="84" t="s">
        <v>150</v>
      </c>
      <c r="DM25" s="97" t="s">
        <v>150</v>
      </c>
      <c r="DN25" s="97"/>
      <c r="DS25" s="97"/>
      <c r="DT25" s="90" t="s">
        <v>150</v>
      </c>
      <c r="DU25" s="84" t="s">
        <v>150</v>
      </c>
      <c r="DW25" s="84" t="s">
        <v>149</v>
      </c>
      <c r="DX25" s="84" t="s">
        <v>377</v>
      </c>
      <c r="DY25" s="87" t="s">
        <v>150</v>
      </c>
      <c r="DZ25" s="84" t="s">
        <v>150</v>
      </c>
      <c r="EB25" s="86"/>
      <c r="EC25" s="87" t="s">
        <v>149</v>
      </c>
      <c r="ED25" s="97" t="s">
        <v>150</v>
      </c>
      <c r="EF25" s="84" t="s">
        <v>196</v>
      </c>
      <c r="EG25" s="84" t="s">
        <v>150</v>
      </c>
      <c r="EI25" s="96" t="s">
        <v>149</v>
      </c>
      <c r="EJ25" s="97" t="s">
        <v>149</v>
      </c>
      <c r="EK25" s="84" t="s">
        <v>150</v>
      </c>
      <c r="EL25" s="84" t="s">
        <v>149</v>
      </c>
      <c r="EM25" s="84" t="s">
        <v>150</v>
      </c>
      <c r="EN25" s="96"/>
      <c r="EO25" s="96" t="s">
        <v>378</v>
      </c>
      <c r="EP25" s="125"/>
      <c r="EQ25" s="126" t="s">
        <v>150</v>
      </c>
      <c r="ER25" s="134" t="s">
        <v>166</v>
      </c>
      <c r="ES25" s="98" t="s">
        <v>166</v>
      </c>
      <c r="ET25" s="98" t="s">
        <v>166</v>
      </c>
      <c r="EU25" s="99" t="s">
        <v>166</v>
      </c>
      <c r="EV25" s="140" t="s">
        <v>166</v>
      </c>
      <c r="EW25" s="146" t="str">
        <f t="shared" si="0"/>
        <v>Low</v>
      </c>
      <c r="EX25" s="141"/>
      <c r="EY25" s="84" t="s">
        <v>150</v>
      </c>
      <c r="EZ25" s="84" t="s">
        <v>150</v>
      </c>
      <c r="FA25" s="84" t="s">
        <v>150</v>
      </c>
      <c r="FB25" s="86" t="str">
        <f t="shared" si="1"/>
        <v>No</v>
      </c>
      <c r="FC25" s="84" t="s">
        <v>149</v>
      </c>
      <c r="FD25" s="84" t="s">
        <v>149</v>
      </c>
      <c r="FE25" s="84" t="s">
        <v>149</v>
      </c>
      <c r="FF25" s="84" t="s">
        <v>149</v>
      </c>
      <c r="FG25" s="84" t="s">
        <v>149</v>
      </c>
      <c r="FH25" s="84" t="s">
        <v>149</v>
      </c>
      <c r="FI25" s="84" t="s">
        <v>149</v>
      </c>
      <c r="FJ25" s="84" t="s">
        <v>149</v>
      </c>
      <c r="FK25" s="84" t="s">
        <v>149</v>
      </c>
      <c r="FL25" s="84" t="s">
        <v>149</v>
      </c>
      <c r="FM25" s="84" t="s">
        <v>150</v>
      </c>
      <c r="FN25" s="84" t="s">
        <v>150</v>
      </c>
      <c r="FO25" s="84" t="str">
        <f t="shared" si="2"/>
        <v>Partial yes</v>
      </c>
      <c r="FP25" s="84" t="s">
        <v>149</v>
      </c>
      <c r="FQ25" s="84" t="s">
        <v>149</v>
      </c>
      <c r="FR25" s="84" t="s">
        <v>832</v>
      </c>
      <c r="FS25" s="84" t="str">
        <f t="shared" si="3"/>
        <v>Yes</v>
      </c>
      <c r="FT25" s="84" t="s">
        <v>149</v>
      </c>
      <c r="FU25" s="84" t="s">
        <v>832</v>
      </c>
      <c r="FV25" s="84" t="str">
        <f t="shared" si="4"/>
        <v>Yes</v>
      </c>
      <c r="FW25" s="84" t="str">
        <f t="shared" si="5"/>
        <v>Yes</v>
      </c>
      <c r="FX25" s="84" t="str">
        <f t="shared" si="29"/>
        <v>Yes</v>
      </c>
      <c r="FY25" s="84" t="str">
        <f t="shared" si="34"/>
        <v>Yes</v>
      </c>
      <c r="FZ25" s="84" t="str">
        <f t="shared" si="7"/>
        <v>Yes</v>
      </c>
      <c r="GA25" s="84" t="s">
        <v>149</v>
      </c>
      <c r="GB25" s="84" t="s">
        <v>149</v>
      </c>
      <c r="GC25" s="84" t="s">
        <v>149</v>
      </c>
      <c r="GD25" s="84" t="str">
        <f t="shared" si="33"/>
        <v>Yes</v>
      </c>
      <c r="GE25" s="84" t="s">
        <v>149</v>
      </c>
      <c r="GF25" s="84" t="str">
        <f t="shared" si="31"/>
        <v>Yes</v>
      </c>
      <c r="GG25" s="84" t="s">
        <v>149</v>
      </c>
      <c r="GH25" s="84" t="str">
        <f t="shared" si="37"/>
        <v>Yes</v>
      </c>
      <c r="GI25" s="84" t="s">
        <v>149</v>
      </c>
      <c r="GJ25" s="84" t="s">
        <v>832</v>
      </c>
      <c r="GK25" s="84" t="str">
        <f t="shared" si="10"/>
        <v>Yes</v>
      </c>
      <c r="GL25" s="84" t="s">
        <v>149</v>
      </c>
      <c r="GM25" s="84" t="s">
        <v>149</v>
      </c>
      <c r="GN25" s="84" t="str">
        <f t="shared" si="36"/>
        <v>Yes</v>
      </c>
      <c r="GO25" s="84" t="s">
        <v>149</v>
      </c>
      <c r="GP25" s="84" t="s">
        <v>832</v>
      </c>
      <c r="GQ25" s="84" t="str">
        <f t="shared" si="12"/>
        <v>Yes</v>
      </c>
      <c r="GR25" s="84" t="s">
        <v>149</v>
      </c>
      <c r="GS25" s="84" t="str">
        <f t="shared" si="38"/>
        <v>Yes</v>
      </c>
      <c r="GT25" s="84" t="s">
        <v>149</v>
      </c>
      <c r="GU25" s="84" t="s">
        <v>149</v>
      </c>
      <c r="GV25" s="84" t="s">
        <v>149</v>
      </c>
      <c r="GW25" s="84" t="s">
        <v>149</v>
      </c>
      <c r="GX25" s="84" t="s">
        <v>149</v>
      </c>
      <c r="GY25" s="84" t="s">
        <v>149</v>
      </c>
      <c r="GZ25" s="84" t="s">
        <v>149</v>
      </c>
      <c r="HA25" s="84" t="str">
        <f t="shared" si="14"/>
        <v>Yes</v>
      </c>
      <c r="HB25" s="84" t="s">
        <v>149</v>
      </c>
      <c r="HC25" s="84" t="str">
        <f t="shared" si="42"/>
        <v>Yes</v>
      </c>
      <c r="HD25" s="84" t="s">
        <v>149</v>
      </c>
      <c r="HE25" s="84" t="str">
        <f t="shared" si="39"/>
        <v>Yes</v>
      </c>
      <c r="HF25" s="84" t="s">
        <v>832</v>
      </c>
      <c r="HG25" s="84" t="s">
        <v>832</v>
      </c>
      <c r="HH25" s="84" t="s">
        <v>832</v>
      </c>
      <c r="HI25" s="84" t="s">
        <v>832</v>
      </c>
      <c r="HJ25" s="84" t="s">
        <v>149</v>
      </c>
      <c r="HK25" s="84" t="s">
        <v>832</v>
      </c>
      <c r="HL25" s="84" t="s">
        <v>832</v>
      </c>
      <c r="HM25" s="84" t="s">
        <v>149</v>
      </c>
      <c r="HN25" s="84" t="str">
        <f t="shared" si="16"/>
        <v>Yes</v>
      </c>
      <c r="HO25" s="84" t="s">
        <v>149</v>
      </c>
      <c r="HP25" s="84" t="str">
        <f t="shared" si="40"/>
        <v>Yes</v>
      </c>
      <c r="HQ25" s="84" t="s">
        <v>149</v>
      </c>
      <c r="HR25" s="84" t="str">
        <f t="shared" si="18"/>
        <v>Yes</v>
      </c>
      <c r="HS25" s="84" t="s">
        <v>149</v>
      </c>
      <c r="HT25" s="84" t="s">
        <v>149</v>
      </c>
      <c r="HU25" s="84" t="s">
        <v>149</v>
      </c>
      <c r="HV25" s="84" t="s">
        <v>149</v>
      </c>
      <c r="HW25" s="100" t="s">
        <v>832</v>
      </c>
      <c r="HX25" s="84" t="s">
        <v>149</v>
      </c>
      <c r="HY25" s="84" t="s">
        <v>149</v>
      </c>
      <c r="HZ25" s="84" t="str">
        <f t="shared" si="20"/>
        <v>Partial yes</v>
      </c>
      <c r="IA25" s="84" t="s">
        <v>149</v>
      </c>
      <c r="IB25" s="84" t="str">
        <f t="shared" si="41"/>
        <v>Yes</v>
      </c>
      <c r="IC25" s="84" t="s">
        <v>149</v>
      </c>
      <c r="ID25" s="84" t="str">
        <f t="shared" si="43"/>
        <v>Yes</v>
      </c>
      <c r="IE25" s="84" t="s">
        <v>832</v>
      </c>
      <c r="IF25" s="84" t="s">
        <v>832</v>
      </c>
      <c r="IG25" s="84" t="s">
        <v>832</v>
      </c>
      <c r="IH25" s="84" t="s">
        <v>832</v>
      </c>
      <c r="II25" s="84" t="s">
        <v>832</v>
      </c>
      <c r="IJ25" s="84" t="s">
        <v>149</v>
      </c>
      <c r="IK25" s="84" t="s">
        <v>149</v>
      </c>
      <c r="IL25" s="84" t="s">
        <v>149</v>
      </c>
      <c r="IM25" s="84" t="s">
        <v>150</v>
      </c>
      <c r="IN25" s="84" t="s">
        <v>149</v>
      </c>
      <c r="IP25" s="84" t="s">
        <v>150</v>
      </c>
      <c r="IR25" s="84" t="str">
        <f t="shared" si="23"/>
        <v>Partial yes</v>
      </c>
      <c r="IS25" s="84" t="s">
        <v>149</v>
      </c>
      <c r="IT25" s="84" t="s">
        <v>149</v>
      </c>
      <c r="IU25" s="84" t="s">
        <v>149</v>
      </c>
      <c r="IV25" s="84" t="str">
        <f t="shared" si="24"/>
        <v>Yes</v>
      </c>
      <c r="IW25" s="84" t="s">
        <v>149</v>
      </c>
      <c r="IX25" s="84" t="s">
        <v>149</v>
      </c>
      <c r="IY25" s="84" t="str">
        <f t="shared" si="25"/>
        <v>Yes</v>
      </c>
      <c r="IZ25" s="84" t="s">
        <v>149</v>
      </c>
      <c r="JA25" s="84" t="s">
        <v>149</v>
      </c>
      <c r="JB25" s="84" t="str">
        <f t="shared" si="26"/>
        <v>Yes</v>
      </c>
      <c r="JC25" s="84" t="s">
        <v>150</v>
      </c>
      <c r="JD25" s="84" t="s">
        <v>832</v>
      </c>
      <c r="JE25" s="84" t="str">
        <f t="shared" si="27"/>
        <v>No</v>
      </c>
      <c r="JF25" s="84" t="s">
        <v>149</v>
      </c>
      <c r="JG25" s="84" t="str">
        <f>JF25</f>
        <v>Yes</v>
      </c>
      <c r="JH25" s="51" t="s">
        <v>150</v>
      </c>
    </row>
    <row r="26" spans="1:268" s="84" customFormat="1" ht="16" x14ac:dyDescent="0.25">
      <c r="A26" s="83">
        <v>22</v>
      </c>
      <c r="B26" s="84" t="s">
        <v>379</v>
      </c>
      <c r="C26" s="84" t="s">
        <v>380</v>
      </c>
      <c r="D26" s="84" t="s">
        <v>178</v>
      </c>
      <c r="E26" s="85">
        <v>44491</v>
      </c>
      <c r="F26" s="84" t="s">
        <v>381</v>
      </c>
      <c r="G26" s="84" t="s">
        <v>149</v>
      </c>
      <c r="H26" s="84" t="s">
        <v>149</v>
      </c>
      <c r="I26" s="84" t="s">
        <v>315</v>
      </c>
      <c r="J26" s="84" t="s">
        <v>202</v>
      </c>
      <c r="K26" s="86" t="s">
        <v>203</v>
      </c>
      <c r="L26" s="84" t="s">
        <v>154</v>
      </c>
      <c r="M26" s="86" t="s">
        <v>382</v>
      </c>
      <c r="N26" s="84" t="s">
        <v>156</v>
      </c>
      <c r="O26" s="86" t="s">
        <v>383</v>
      </c>
      <c r="P26" s="84" t="s">
        <v>185</v>
      </c>
      <c r="Q26" s="84" t="s">
        <v>206</v>
      </c>
      <c r="R26" s="88">
        <v>7</v>
      </c>
      <c r="S26" s="84" t="s">
        <v>384</v>
      </c>
      <c r="T26" s="88" t="s">
        <v>149</v>
      </c>
      <c r="U26" s="84" t="s">
        <v>149</v>
      </c>
      <c r="V26" s="84" t="s">
        <v>149</v>
      </c>
      <c r="W26" s="84" t="s">
        <v>149</v>
      </c>
      <c r="X26" s="84" t="s">
        <v>150</v>
      </c>
      <c r="Y26" s="84" t="s">
        <v>150</v>
      </c>
      <c r="Z26" s="84" t="s">
        <v>150</v>
      </c>
      <c r="AA26" s="89"/>
      <c r="AB26" s="84" t="s">
        <v>149</v>
      </c>
      <c r="AC26" s="84" t="s">
        <v>149</v>
      </c>
      <c r="AD26" s="84" t="s">
        <v>150</v>
      </c>
      <c r="AE26" s="84" t="s">
        <v>150</v>
      </c>
      <c r="AF26" s="89"/>
      <c r="AH26" s="90" t="s">
        <v>188</v>
      </c>
      <c r="AI26" s="146" t="s">
        <v>149</v>
      </c>
      <c r="AJ26" s="165" t="s">
        <v>150</v>
      </c>
      <c r="AL26" s="92"/>
      <c r="AM26" s="159" t="s">
        <v>149</v>
      </c>
      <c r="AN26" s="85">
        <v>44221</v>
      </c>
      <c r="AO26" s="84" t="s">
        <v>149</v>
      </c>
      <c r="AP26" s="84" t="s">
        <v>385</v>
      </c>
      <c r="AQ26" s="86"/>
      <c r="AR26" s="91" t="s">
        <v>376</v>
      </c>
      <c r="AS26" s="84" t="s">
        <v>149</v>
      </c>
      <c r="AT26" s="84" t="s">
        <v>149</v>
      </c>
      <c r="AU26" s="84" t="s">
        <v>149</v>
      </c>
      <c r="AV26" s="84" t="s">
        <v>150</v>
      </c>
      <c r="AW26" s="84" t="s">
        <v>149</v>
      </c>
      <c r="AX26" s="84" t="s">
        <v>149</v>
      </c>
      <c r="AY26" s="92" t="s">
        <v>149</v>
      </c>
      <c r="AZ26" s="84" t="s">
        <v>149</v>
      </c>
      <c r="BA26" s="84" t="s">
        <v>149</v>
      </c>
      <c r="BB26" s="84" t="s">
        <v>149</v>
      </c>
      <c r="BC26" s="84" t="s">
        <v>149</v>
      </c>
      <c r="BD26" s="84" t="s">
        <v>150</v>
      </c>
      <c r="BE26" s="84" t="s">
        <v>150</v>
      </c>
      <c r="BF26" s="84" t="s">
        <v>149</v>
      </c>
      <c r="BG26" s="87" t="s">
        <v>149</v>
      </c>
      <c r="BH26" s="84" t="s">
        <v>149</v>
      </c>
      <c r="BI26" s="84" t="s">
        <v>149</v>
      </c>
      <c r="BJ26" s="86" t="s">
        <v>149</v>
      </c>
      <c r="BK26" s="84" t="s">
        <v>149</v>
      </c>
      <c r="BL26" s="84" t="s">
        <v>149</v>
      </c>
      <c r="BM26" s="87" t="s">
        <v>149</v>
      </c>
      <c r="BN26" s="84" t="s">
        <v>149</v>
      </c>
      <c r="BO26" s="84" t="s">
        <v>149</v>
      </c>
      <c r="BP26" s="84" t="s">
        <v>149</v>
      </c>
      <c r="BR26" s="84" t="s">
        <v>191</v>
      </c>
      <c r="BT26" s="87" t="s">
        <v>163</v>
      </c>
      <c r="BU26" s="84" t="s">
        <v>164</v>
      </c>
      <c r="BW26" s="92"/>
      <c r="BX26" s="86" t="s">
        <v>165</v>
      </c>
      <c r="BY26" s="84" t="s">
        <v>149</v>
      </c>
      <c r="BZ26" s="93"/>
      <c r="CA26" s="94">
        <v>1781</v>
      </c>
      <c r="CB26" s="92">
        <v>11</v>
      </c>
      <c r="CC26" s="84">
        <v>11</v>
      </c>
      <c r="CD26" s="95">
        <v>0</v>
      </c>
      <c r="CE26" s="85">
        <v>44361</v>
      </c>
      <c r="CF26" s="84" t="s">
        <v>150</v>
      </c>
      <c r="CH26" s="86"/>
      <c r="CI26" s="84" t="s">
        <v>150</v>
      </c>
      <c r="CJ26" s="92"/>
      <c r="CK26" s="84" t="s">
        <v>149</v>
      </c>
      <c r="CL26" s="92" t="s">
        <v>220</v>
      </c>
      <c r="CM26" s="92" t="s">
        <v>149</v>
      </c>
      <c r="CN26" s="96" t="s">
        <v>150</v>
      </c>
      <c r="CU26" s="97"/>
      <c r="CV26" s="87" t="s">
        <v>150</v>
      </c>
      <c r="CW26" s="97" t="s">
        <v>150</v>
      </c>
      <c r="CX26" s="97"/>
      <c r="DC26" s="97"/>
      <c r="DD26" s="87" t="s">
        <v>150</v>
      </c>
      <c r="DE26" s="97" t="s">
        <v>150</v>
      </c>
      <c r="DF26" s="97"/>
      <c r="DJ26" s="96"/>
      <c r="DK26" s="86"/>
      <c r="DL26" s="84" t="s">
        <v>150</v>
      </c>
      <c r="DM26" s="97" t="s">
        <v>150</v>
      </c>
      <c r="DN26" s="97"/>
      <c r="DS26" s="97"/>
      <c r="DT26" s="90" t="s">
        <v>150</v>
      </c>
      <c r="DU26" s="84" t="s">
        <v>150</v>
      </c>
      <c r="DW26" s="84" t="s">
        <v>149</v>
      </c>
      <c r="DX26" s="84" t="s">
        <v>386</v>
      </c>
      <c r="DY26" s="87" t="s">
        <v>150</v>
      </c>
      <c r="DZ26" s="84" t="s">
        <v>150</v>
      </c>
      <c r="EB26" s="86"/>
      <c r="EC26" s="87" t="s">
        <v>149</v>
      </c>
      <c r="ED26" s="97" t="s">
        <v>150</v>
      </c>
      <c r="EF26" s="84" t="s">
        <v>196</v>
      </c>
      <c r="EG26" s="84" t="s">
        <v>150</v>
      </c>
      <c r="EI26" s="96" t="s">
        <v>150</v>
      </c>
      <c r="EJ26" s="97"/>
      <c r="EN26" s="96"/>
      <c r="EO26" s="96"/>
      <c r="EP26" s="125"/>
      <c r="EQ26" s="126" t="s">
        <v>150</v>
      </c>
      <c r="ER26" s="134" t="s">
        <v>166</v>
      </c>
      <c r="ES26" s="98" t="s">
        <v>166</v>
      </c>
      <c r="ET26" s="98" t="s">
        <v>166</v>
      </c>
      <c r="EU26" s="99" t="s">
        <v>166</v>
      </c>
      <c r="EV26" s="140" t="s">
        <v>166</v>
      </c>
      <c r="EW26" s="146" t="str">
        <f t="shared" si="0"/>
        <v>Low</v>
      </c>
      <c r="EX26" s="141"/>
      <c r="EY26" s="84" t="s">
        <v>150</v>
      </c>
      <c r="EZ26" s="84" t="s">
        <v>150</v>
      </c>
      <c r="FA26" s="84" t="s">
        <v>150</v>
      </c>
      <c r="FB26" s="86" t="str">
        <f t="shared" si="1"/>
        <v>No</v>
      </c>
      <c r="FC26" s="84" t="s">
        <v>150</v>
      </c>
      <c r="FD26" s="84" t="s">
        <v>149</v>
      </c>
      <c r="FE26" s="84" t="s">
        <v>149</v>
      </c>
      <c r="FF26" s="84" t="s">
        <v>149</v>
      </c>
      <c r="FG26" s="84" t="s">
        <v>149</v>
      </c>
      <c r="FH26" s="84" t="s">
        <v>150</v>
      </c>
      <c r="FI26" s="84" t="s">
        <v>149</v>
      </c>
      <c r="FJ26" s="84" t="s">
        <v>149</v>
      </c>
      <c r="FK26" s="84" t="s">
        <v>149</v>
      </c>
      <c r="FL26" s="84" t="s">
        <v>149</v>
      </c>
      <c r="FM26" s="84" t="s">
        <v>150</v>
      </c>
      <c r="FN26" s="84" t="s">
        <v>150</v>
      </c>
      <c r="FO26" s="84" t="str">
        <f t="shared" si="2"/>
        <v>Partial yes</v>
      </c>
      <c r="FP26" s="84" t="s">
        <v>149</v>
      </c>
      <c r="FQ26" s="84" t="s">
        <v>150</v>
      </c>
      <c r="FR26" s="84" t="s">
        <v>832</v>
      </c>
      <c r="FS26" s="84" t="str">
        <f t="shared" si="3"/>
        <v>Partial yes</v>
      </c>
      <c r="FT26" s="84" t="s">
        <v>149</v>
      </c>
      <c r="FU26" s="84" t="s">
        <v>832</v>
      </c>
      <c r="FV26" s="84" t="str">
        <f t="shared" si="4"/>
        <v>Yes</v>
      </c>
      <c r="FW26" s="84" t="str">
        <f t="shared" si="5"/>
        <v>Yes</v>
      </c>
      <c r="FX26" s="84" t="str">
        <f t="shared" si="29"/>
        <v>Yes</v>
      </c>
      <c r="FY26" s="84" t="str">
        <f t="shared" si="34"/>
        <v>No</v>
      </c>
      <c r="FZ26" s="84" t="str">
        <f t="shared" si="7"/>
        <v>Partial yes</v>
      </c>
      <c r="GA26" s="84" t="s">
        <v>149</v>
      </c>
      <c r="GB26" s="84" t="str">
        <f t="shared" ref="GB26:GB46" si="44">GA26</f>
        <v>Yes</v>
      </c>
      <c r="GC26" s="84" t="s">
        <v>149</v>
      </c>
      <c r="GD26" s="84" t="str">
        <f t="shared" si="33"/>
        <v>Yes</v>
      </c>
      <c r="GE26" s="84" t="s">
        <v>149</v>
      </c>
      <c r="GF26" s="84" t="str">
        <f t="shared" si="31"/>
        <v>Yes</v>
      </c>
      <c r="GG26" s="84" t="s">
        <v>149</v>
      </c>
      <c r="GH26" s="84" t="str">
        <f t="shared" si="37"/>
        <v>Yes</v>
      </c>
      <c r="GI26" s="84" t="s">
        <v>149</v>
      </c>
      <c r="GJ26" s="84" t="s">
        <v>832</v>
      </c>
      <c r="GK26" s="84" t="str">
        <f t="shared" si="10"/>
        <v>Yes</v>
      </c>
      <c r="GL26" s="84" t="s">
        <v>149</v>
      </c>
      <c r="GM26" s="84" t="s">
        <v>149</v>
      </c>
      <c r="GN26" s="84" t="str">
        <f t="shared" si="36"/>
        <v>Yes</v>
      </c>
      <c r="GO26" s="84" t="s">
        <v>149</v>
      </c>
      <c r="GP26" s="84" t="s">
        <v>832</v>
      </c>
      <c r="GQ26" s="84" t="str">
        <f t="shared" si="12"/>
        <v>Yes</v>
      </c>
      <c r="GR26" s="84" t="s">
        <v>149</v>
      </c>
      <c r="GS26" s="84" t="str">
        <f t="shared" si="38"/>
        <v>Yes</v>
      </c>
      <c r="GT26" s="84" t="s">
        <v>149</v>
      </c>
      <c r="GU26" s="84" t="s">
        <v>149</v>
      </c>
      <c r="GV26" s="84" t="s">
        <v>149</v>
      </c>
      <c r="GW26" s="84" t="s">
        <v>149</v>
      </c>
      <c r="GX26" s="84" t="s">
        <v>150</v>
      </c>
      <c r="GY26" s="84" t="s">
        <v>149</v>
      </c>
      <c r="GZ26" s="84" t="s">
        <v>149</v>
      </c>
      <c r="HA26" s="84" t="str">
        <f t="shared" si="14"/>
        <v>Partial yes</v>
      </c>
      <c r="HB26" s="84" t="s">
        <v>149</v>
      </c>
      <c r="HC26" s="84" t="str">
        <f t="shared" si="42"/>
        <v>Yes</v>
      </c>
      <c r="HD26" s="84" t="s">
        <v>149</v>
      </c>
      <c r="HE26" s="84" t="str">
        <f t="shared" si="39"/>
        <v>Yes</v>
      </c>
      <c r="HF26" s="84" t="s">
        <v>832</v>
      </c>
      <c r="HG26" s="84" t="s">
        <v>832</v>
      </c>
      <c r="HH26" s="84" t="s">
        <v>832</v>
      </c>
      <c r="HI26" s="84" t="s">
        <v>832</v>
      </c>
      <c r="HJ26" s="84" t="s">
        <v>149</v>
      </c>
      <c r="HK26" s="84" t="s">
        <v>832</v>
      </c>
      <c r="HL26" s="84" t="s">
        <v>832</v>
      </c>
      <c r="HM26" s="84" t="s">
        <v>149</v>
      </c>
      <c r="HN26" s="84" t="str">
        <f t="shared" si="16"/>
        <v>Yes</v>
      </c>
      <c r="HO26" s="84" t="s">
        <v>149</v>
      </c>
      <c r="HP26" s="84" t="str">
        <f t="shared" si="40"/>
        <v>Yes</v>
      </c>
      <c r="HQ26" s="84" t="s">
        <v>149</v>
      </c>
      <c r="HR26" s="84" t="str">
        <f t="shared" si="18"/>
        <v>Yes</v>
      </c>
      <c r="HS26" s="84" t="s">
        <v>149</v>
      </c>
      <c r="HT26" s="84" t="s">
        <v>149</v>
      </c>
      <c r="HU26" s="84" t="s">
        <v>149</v>
      </c>
      <c r="HV26" s="84" t="s">
        <v>149</v>
      </c>
      <c r="HW26" s="100" t="s">
        <v>832</v>
      </c>
      <c r="HX26" s="84" t="s">
        <v>149</v>
      </c>
      <c r="HY26" s="84" t="s">
        <v>149</v>
      </c>
      <c r="HZ26" s="84" t="str">
        <f t="shared" si="20"/>
        <v>Partial yes</v>
      </c>
      <c r="IA26" s="84" t="s">
        <v>149</v>
      </c>
      <c r="IB26" s="84" t="str">
        <f t="shared" si="41"/>
        <v>Yes</v>
      </c>
      <c r="IC26" s="84" t="s">
        <v>149</v>
      </c>
      <c r="ID26" s="84" t="str">
        <f t="shared" si="43"/>
        <v>Yes</v>
      </c>
      <c r="IE26" s="84" t="s">
        <v>832</v>
      </c>
      <c r="IF26" s="84" t="s">
        <v>832</v>
      </c>
      <c r="IG26" s="84" t="s">
        <v>832</v>
      </c>
      <c r="IH26" s="84" t="s">
        <v>832</v>
      </c>
      <c r="II26" s="84" t="s">
        <v>832</v>
      </c>
      <c r="IJ26" s="84" t="s">
        <v>149</v>
      </c>
      <c r="IK26" s="84" t="s">
        <v>149</v>
      </c>
      <c r="IL26" s="84" t="s">
        <v>149</v>
      </c>
      <c r="IM26" s="84" t="s">
        <v>149</v>
      </c>
      <c r="IN26" s="84" t="s">
        <v>150</v>
      </c>
      <c r="IP26" s="84" t="s">
        <v>149</v>
      </c>
      <c r="IR26" s="84" t="s">
        <v>149</v>
      </c>
      <c r="IS26" s="84" t="s">
        <v>149</v>
      </c>
      <c r="IT26" s="84" t="s">
        <v>149</v>
      </c>
      <c r="IU26" s="84" t="s">
        <v>149</v>
      </c>
      <c r="IV26" s="84" t="str">
        <f t="shared" si="24"/>
        <v>Yes</v>
      </c>
      <c r="IW26" s="84" t="s">
        <v>149</v>
      </c>
      <c r="IX26" s="84" t="s">
        <v>149</v>
      </c>
      <c r="IY26" s="84" t="str">
        <f t="shared" si="25"/>
        <v>Yes</v>
      </c>
      <c r="IZ26" s="84" t="s">
        <v>149</v>
      </c>
      <c r="JA26" s="84" t="s">
        <v>149</v>
      </c>
      <c r="JB26" s="84" t="str">
        <f t="shared" si="26"/>
        <v>Yes</v>
      </c>
      <c r="JC26" s="84" t="s">
        <v>150</v>
      </c>
      <c r="JD26" s="84" t="s">
        <v>832</v>
      </c>
      <c r="JE26" s="84" t="str">
        <f t="shared" si="27"/>
        <v>No</v>
      </c>
      <c r="JF26" s="84" t="s">
        <v>149</v>
      </c>
      <c r="JG26" s="84" t="str">
        <f>JF26</f>
        <v>Yes</v>
      </c>
      <c r="JH26" s="51" t="s">
        <v>150</v>
      </c>
    </row>
    <row r="27" spans="1:268" s="84" customFormat="1" ht="16" x14ac:dyDescent="0.25">
      <c r="A27" s="83">
        <v>26</v>
      </c>
      <c r="B27" s="84" t="s">
        <v>400</v>
      </c>
      <c r="C27" s="84" t="s">
        <v>401</v>
      </c>
      <c r="D27" s="84" t="s">
        <v>178</v>
      </c>
      <c r="E27" s="85">
        <v>44902</v>
      </c>
      <c r="F27" s="84" t="s">
        <v>402</v>
      </c>
      <c r="G27" s="84" t="s">
        <v>149</v>
      </c>
      <c r="H27" s="84" t="s">
        <v>149</v>
      </c>
      <c r="I27" s="84" t="s">
        <v>275</v>
      </c>
      <c r="J27" s="84" t="s">
        <v>202</v>
      </c>
      <c r="K27" s="86" t="s">
        <v>203</v>
      </c>
      <c r="L27" s="84" t="s">
        <v>154</v>
      </c>
      <c r="M27" s="86" t="s">
        <v>518</v>
      </c>
      <c r="N27" s="84" t="s">
        <v>719</v>
      </c>
      <c r="O27" s="86" t="s">
        <v>519</v>
      </c>
      <c r="P27" s="84" t="s">
        <v>185</v>
      </c>
      <c r="Q27" s="84" t="s">
        <v>520</v>
      </c>
      <c r="R27" s="88">
        <v>5</v>
      </c>
      <c r="S27" s="84" t="s">
        <v>521</v>
      </c>
      <c r="T27" s="88" t="s">
        <v>149</v>
      </c>
      <c r="U27" s="84" t="s">
        <v>149</v>
      </c>
      <c r="V27" s="84" t="s">
        <v>150</v>
      </c>
      <c r="W27" s="84" t="s">
        <v>150</v>
      </c>
      <c r="X27" s="84" t="s">
        <v>149</v>
      </c>
      <c r="Y27" s="84" t="s">
        <v>150</v>
      </c>
      <c r="Z27" s="84" t="s">
        <v>150</v>
      </c>
      <c r="AA27" s="89"/>
      <c r="AB27" s="84" t="s">
        <v>149</v>
      </c>
      <c r="AC27" s="84" t="s">
        <v>150</v>
      </c>
      <c r="AD27" s="84" t="s">
        <v>150</v>
      </c>
      <c r="AE27" s="84" t="s">
        <v>150</v>
      </c>
      <c r="AF27" s="89"/>
      <c r="AH27" s="90" t="s">
        <v>188</v>
      </c>
      <c r="AI27" s="146" t="s">
        <v>149</v>
      </c>
      <c r="AJ27" s="156" t="s">
        <v>149</v>
      </c>
      <c r="AK27" s="157" t="s">
        <v>522</v>
      </c>
      <c r="AL27" s="158">
        <v>44308</v>
      </c>
      <c r="AM27" s="159" t="s">
        <v>149</v>
      </c>
      <c r="AN27" s="85">
        <v>44426</v>
      </c>
      <c r="AO27" s="84" t="s">
        <v>149</v>
      </c>
      <c r="AP27" s="84" t="s">
        <v>523</v>
      </c>
      <c r="AQ27" s="86"/>
      <c r="AR27" s="91"/>
      <c r="AS27" s="84" t="s">
        <v>149</v>
      </c>
      <c r="AT27" s="84" t="s">
        <v>149</v>
      </c>
      <c r="AU27" s="84" t="s">
        <v>149</v>
      </c>
      <c r="AV27" s="84" t="s">
        <v>150</v>
      </c>
      <c r="AW27" s="84" t="s">
        <v>150</v>
      </c>
      <c r="AX27" s="84" t="s">
        <v>150</v>
      </c>
      <c r="AY27" s="92" t="s">
        <v>149</v>
      </c>
      <c r="AZ27" s="84" t="s">
        <v>149</v>
      </c>
      <c r="BA27" s="84" t="s">
        <v>149</v>
      </c>
      <c r="BB27" s="84" t="s">
        <v>149</v>
      </c>
      <c r="BC27" s="84" t="s">
        <v>149</v>
      </c>
      <c r="BD27" s="84" t="s">
        <v>150</v>
      </c>
      <c r="BE27" s="84" t="s">
        <v>150</v>
      </c>
      <c r="BF27" s="84" t="s">
        <v>149</v>
      </c>
      <c r="BG27" s="87" t="s">
        <v>149</v>
      </c>
      <c r="BH27" s="84" t="s">
        <v>149</v>
      </c>
      <c r="BI27" s="84" t="s">
        <v>149</v>
      </c>
      <c r="BJ27" s="86" t="s">
        <v>149</v>
      </c>
      <c r="BK27" s="84" t="s">
        <v>149</v>
      </c>
      <c r="BL27" s="84" t="s">
        <v>149</v>
      </c>
      <c r="BM27" s="87" t="s">
        <v>149</v>
      </c>
      <c r="BN27" s="84" t="s">
        <v>149</v>
      </c>
      <c r="BO27" s="84" t="s">
        <v>149</v>
      </c>
      <c r="BP27" s="84" t="s">
        <v>149</v>
      </c>
      <c r="BR27" s="84" t="s">
        <v>191</v>
      </c>
      <c r="BT27" s="87" t="s">
        <v>165</v>
      </c>
      <c r="BU27" s="84" t="s">
        <v>164</v>
      </c>
      <c r="BW27" s="92"/>
      <c r="BX27" s="86" t="s">
        <v>165</v>
      </c>
      <c r="BY27" s="84" t="s">
        <v>149</v>
      </c>
      <c r="BZ27" s="93"/>
      <c r="CA27" s="94">
        <v>48047</v>
      </c>
      <c r="CB27" s="92">
        <v>41</v>
      </c>
      <c r="CC27" s="84">
        <v>41</v>
      </c>
      <c r="CD27" s="95">
        <v>0</v>
      </c>
      <c r="CE27" s="85">
        <v>44505</v>
      </c>
      <c r="CF27" s="84" t="s">
        <v>150</v>
      </c>
      <c r="CG27" s="85"/>
      <c r="CH27" s="86"/>
      <c r="CI27" s="84" t="s">
        <v>150</v>
      </c>
      <c r="CJ27" s="92"/>
      <c r="CK27" s="84" t="s">
        <v>149</v>
      </c>
      <c r="CL27" s="92" t="s">
        <v>220</v>
      </c>
      <c r="CM27" s="92" t="s">
        <v>150</v>
      </c>
      <c r="CN27" s="96" t="s">
        <v>150</v>
      </c>
      <c r="CU27" s="97"/>
      <c r="CV27" s="87" t="s">
        <v>150</v>
      </c>
      <c r="CW27" s="97" t="s">
        <v>150</v>
      </c>
      <c r="CX27" s="97"/>
      <c r="DC27" s="97"/>
      <c r="DD27" s="87" t="s">
        <v>150</v>
      </c>
      <c r="DE27" s="97" t="s">
        <v>150</v>
      </c>
      <c r="DF27" s="97"/>
      <c r="DJ27" s="96"/>
      <c r="DK27" s="86"/>
      <c r="DL27" s="84" t="s">
        <v>150</v>
      </c>
      <c r="DM27" s="97" t="s">
        <v>150</v>
      </c>
      <c r="DN27" s="97"/>
      <c r="DS27" s="97"/>
      <c r="DT27" s="90" t="s">
        <v>150</v>
      </c>
      <c r="DU27" s="84" t="s">
        <v>149</v>
      </c>
      <c r="DV27" s="84" t="s">
        <v>221</v>
      </c>
      <c r="DX27" s="84" t="s">
        <v>524</v>
      </c>
      <c r="DY27" s="87" t="s">
        <v>149</v>
      </c>
      <c r="DZ27" s="84" t="s">
        <v>309</v>
      </c>
      <c r="EB27" s="86" t="s">
        <v>525</v>
      </c>
      <c r="EC27" s="87" t="s">
        <v>149</v>
      </c>
      <c r="ED27" s="97" t="s">
        <v>149</v>
      </c>
      <c r="EE27" s="84" t="s">
        <v>526</v>
      </c>
      <c r="EF27" s="84" t="s">
        <v>196</v>
      </c>
      <c r="EG27" s="84" t="s">
        <v>150</v>
      </c>
      <c r="EI27" s="96" t="s">
        <v>150</v>
      </c>
      <c r="EJ27" s="97"/>
      <c r="EN27" s="96"/>
      <c r="EO27" s="96"/>
      <c r="EP27" s="125"/>
      <c r="EQ27" s="126" t="s">
        <v>149</v>
      </c>
      <c r="ER27" s="135" t="s">
        <v>166</v>
      </c>
      <c r="ES27" s="84" t="s">
        <v>166</v>
      </c>
      <c r="ET27" s="84" t="s">
        <v>166</v>
      </c>
      <c r="EU27" s="86" t="s">
        <v>166</v>
      </c>
      <c r="EV27" s="95" t="s">
        <v>166</v>
      </c>
      <c r="EW27" s="146" t="str">
        <f t="shared" si="0"/>
        <v>Low</v>
      </c>
      <c r="EX27" s="141"/>
      <c r="EY27" s="84" t="s">
        <v>150</v>
      </c>
      <c r="EZ27" s="84" t="s">
        <v>150</v>
      </c>
      <c r="FA27" s="84" t="s">
        <v>150</v>
      </c>
      <c r="FB27" s="86" t="str">
        <f t="shared" si="1"/>
        <v>No</v>
      </c>
      <c r="FC27" s="84" t="s">
        <v>150</v>
      </c>
      <c r="FD27" s="84" t="s">
        <v>149</v>
      </c>
      <c r="FE27" s="84" t="s">
        <v>149</v>
      </c>
      <c r="FF27" s="84" t="s">
        <v>149</v>
      </c>
      <c r="FG27" s="84" t="s">
        <v>150</v>
      </c>
      <c r="FH27" s="84" t="s">
        <v>150</v>
      </c>
      <c r="FI27" s="84" t="s">
        <v>149</v>
      </c>
      <c r="FJ27" s="84" t="s">
        <v>149</v>
      </c>
      <c r="FK27" s="84" t="s">
        <v>149</v>
      </c>
      <c r="FL27" s="84" t="s">
        <v>149</v>
      </c>
      <c r="FM27" s="84" t="s">
        <v>150</v>
      </c>
      <c r="FN27" s="84" t="s">
        <v>150</v>
      </c>
      <c r="FO27" s="84" t="str">
        <f t="shared" si="2"/>
        <v>Partial yes</v>
      </c>
      <c r="FP27" s="84" t="s">
        <v>149</v>
      </c>
      <c r="FQ27" s="84" t="s">
        <v>149</v>
      </c>
      <c r="FR27" s="84" t="s">
        <v>832</v>
      </c>
      <c r="FS27" s="84" t="str">
        <f t="shared" si="3"/>
        <v>Yes</v>
      </c>
      <c r="FT27" s="84" t="s">
        <v>149</v>
      </c>
      <c r="FU27" s="84" t="s">
        <v>832</v>
      </c>
      <c r="FV27" s="84" t="str">
        <f t="shared" si="4"/>
        <v>Yes</v>
      </c>
      <c r="FW27" s="84" t="str">
        <f t="shared" si="5"/>
        <v>Yes</v>
      </c>
      <c r="FX27" s="84" t="str">
        <f t="shared" si="29"/>
        <v>Yes</v>
      </c>
      <c r="FY27" s="84" t="str">
        <f t="shared" si="34"/>
        <v>No</v>
      </c>
      <c r="FZ27" s="84" t="str">
        <f t="shared" si="7"/>
        <v>Partial yes</v>
      </c>
      <c r="GA27" s="84" t="s">
        <v>149</v>
      </c>
      <c r="GB27" s="84" t="str">
        <f t="shared" si="44"/>
        <v>Yes</v>
      </c>
      <c r="GC27" s="84" t="s">
        <v>149</v>
      </c>
      <c r="GD27" s="84" t="str">
        <f t="shared" si="33"/>
        <v>Yes</v>
      </c>
      <c r="GE27" s="84" t="s">
        <v>149</v>
      </c>
      <c r="GF27" s="84" t="str">
        <f t="shared" si="31"/>
        <v>Yes</v>
      </c>
      <c r="GG27" s="84" t="s">
        <v>149</v>
      </c>
      <c r="GH27" s="84" t="str">
        <f t="shared" si="37"/>
        <v>Yes</v>
      </c>
      <c r="GI27" s="84" t="s">
        <v>149</v>
      </c>
      <c r="GJ27" s="84" t="s">
        <v>832</v>
      </c>
      <c r="GK27" s="84" t="str">
        <f t="shared" si="10"/>
        <v>Yes</v>
      </c>
      <c r="GL27" s="84" t="s">
        <v>149</v>
      </c>
      <c r="GM27" s="84" t="s">
        <v>149</v>
      </c>
      <c r="GN27" s="84" t="str">
        <f t="shared" si="36"/>
        <v>Yes</v>
      </c>
      <c r="GO27" s="84" t="s">
        <v>149</v>
      </c>
      <c r="GP27" s="84" t="s">
        <v>832</v>
      </c>
      <c r="GQ27" s="84" t="s">
        <v>149</v>
      </c>
      <c r="GR27" s="84" t="s">
        <v>149</v>
      </c>
      <c r="GS27" s="84" t="str">
        <f t="shared" si="38"/>
        <v>Yes</v>
      </c>
      <c r="GT27" s="84" t="s">
        <v>149</v>
      </c>
      <c r="GU27" s="84" t="s">
        <v>149</v>
      </c>
      <c r="GV27" s="84" t="s">
        <v>149</v>
      </c>
      <c r="GW27" s="84" t="s">
        <v>149</v>
      </c>
      <c r="GX27" s="84" t="s">
        <v>149</v>
      </c>
      <c r="GY27" s="84" t="s">
        <v>149</v>
      </c>
      <c r="GZ27" s="84" t="s">
        <v>149</v>
      </c>
      <c r="HA27" s="84" t="str">
        <f t="shared" si="14"/>
        <v>Yes</v>
      </c>
      <c r="HB27" s="84" t="s">
        <v>149</v>
      </c>
      <c r="HC27" s="84" t="str">
        <f t="shared" si="42"/>
        <v>Yes</v>
      </c>
      <c r="HD27" s="84" t="s">
        <v>149</v>
      </c>
      <c r="HE27" s="84" t="s">
        <v>149</v>
      </c>
      <c r="HF27" s="84" t="s">
        <v>832</v>
      </c>
      <c r="HG27" s="84" t="s">
        <v>832</v>
      </c>
      <c r="HH27" s="84" t="s">
        <v>832</v>
      </c>
      <c r="HI27" s="84" t="s">
        <v>832</v>
      </c>
      <c r="HJ27" s="84" t="s">
        <v>149</v>
      </c>
      <c r="HK27" s="84" t="s">
        <v>832</v>
      </c>
      <c r="HL27" s="84" t="s">
        <v>832</v>
      </c>
      <c r="HM27" s="84" t="s">
        <v>149</v>
      </c>
      <c r="HN27" s="84" t="s">
        <v>149</v>
      </c>
      <c r="HO27" s="84" t="s">
        <v>149</v>
      </c>
      <c r="HP27" s="84" t="s">
        <v>149</v>
      </c>
      <c r="HQ27" s="84" t="s">
        <v>149</v>
      </c>
      <c r="HR27" s="84" t="str">
        <f t="shared" si="18"/>
        <v>Yes</v>
      </c>
      <c r="HS27" s="84" t="s">
        <v>149</v>
      </c>
      <c r="HT27" s="84" t="str">
        <f t="shared" ref="HT27:HT46" si="45">HS27</f>
        <v>Yes</v>
      </c>
      <c r="HU27" s="84" t="s">
        <v>149</v>
      </c>
      <c r="HV27" s="84" t="s">
        <v>149</v>
      </c>
      <c r="HW27" s="100" t="s">
        <v>832</v>
      </c>
      <c r="HX27" s="84" t="s">
        <v>149</v>
      </c>
      <c r="HY27" s="84" t="s">
        <v>149</v>
      </c>
      <c r="HZ27" s="84" t="str">
        <f t="shared" si="20"/>
        <v>Partial yes</v>
      </c>
      <c r="IA27" s="84" t="s">
        <v>149</v>
      </c>
      <c r="IB27" s="84" t="str">
        <f t="shared" si="41"/>
        <v>Yes</v>
      </c>
      <c r="IC27" s="84" t="s">
        <v>149</v>
      </c>
      <c r="ID27" s="84" t="str">
        <f t="shared" si="43"/>
        <v>Yes</v>
      </c>
      <c r="IE27" s="84" t="s">
        <v>832</v>
      </c>
      <c r="IF27" s="84" t="s">
        <v>832</v>
      </c>
      <c r="IG27" s="84" t="s">
        <v>832</v>
      </c>
      <c r="IH27" s="84" t="s">
        <v>832</v>
      </c>
      <c r="II27" s="84" t="s">
        <v>832</v>
      </c>
      <c r="IJ27" s="84" t="s">
        <v>149</v>
      </c>
      <c r="IK27" s="84" t="s">
        <v>149</v>
      </c>
      <c r="IL27" s="84" t="s">
        <v>149</v>
      </c>
      <c r="IM27" s="84" t="s">
        <v>150</v>
      </c>
      <c r="IN27" s="84" t="s">
        <v>149</v>
      </c>
      <c r="IP27" s="84" t="s">
        <v>149</v>
      </c>
      <c r="IR27" s="84" t="str">
        <f t="shared" ref="IR27:IR46" si="46">IF(AND(COUNTIF(IJ27:IN27,"Yes")=COLUMNS(IJ27:IN27),IP27="Yes"),"Yes",
   IF(OR(COUNTIF(IJ27:IN27,"Yes")&gt;0,IP27="Yes"),"Partial yes",
      "No"))</f>
        <v>Partial yes</v>
      </c>
      <c r="IS27" s="84" t="s">
        <v>149</v>
      </c>
      <c r="IT27" s="84" t="s">
        <v>149</v>
      </c>
      <c r="IU27" s="84" t="s">
        <v>149</v>
      </c>
      <c r="IV27" s="84" t="str">
        <f t="shared" si="24"/>
        <v>Yes</v>
      </c>
      <c r="IW27" s="84" t="s">
        <v>149</v>
      </c>
      <c r="IX27" s="84" t="s">
        <v>149</v>
      </c>
      <c r="IY27" s="84" t="str">
        <f t="shared" si="25"/>
        <v>Yes</v>
      </c>
      <c r="IZ27" s="84" t="s">
        <v>149</v>
      </c>
      <c r="JA27" s="84" t="s">
        <v>149</v>
      </c>
      <c r="JB27" s="84" t="str">
        <f t="shared" si="26"/>
        <v>Yes</v>
      </c>
      <c r="JC27" s="84" t="s">
        <v>150</v>
      </c>
      <c r="JD27" s="84" t="s">
        <v>832</v>
      </c>
      <c r="JE27" s="84" t="str">
        <f t="shared" si="27"/>
        <v>No</v>
      </c>
      <c r="JF27" s="84" t="s">
        <v>149</v>
      </c>
      <c r="JG27" s="84" t="str">
        <f>JF27</f>
        <v>Yes</v>
      </c>
      <c r="JH27" s="51" t="s">
        <v>150</v>
      </c>
    </row>
    <row r="28" spans="1:268" s="84" customFormat="1" ht="16" x14ac:dyDescent="0.25">
      <c r="A28" s="83">
        <v>32</v>
      </c>
      <c r="B28" s="84" t="s">
        <v>420</v>
      </c>
      <c r="C28" s="84" t="s">
        <v>421</v>
      </c>
      <c r="D28" s="84" t="s">
        <v>235</v>
      </c>
      <c r="E28" s="85">
        <v>44802</v>
      </c>
      <c r="F28" s="84" t="s">
        <v>422</v>
      </c>
      <c r="G28" s="84" t="s">
        <v>150</v>
      </c>
      <c r="H28" s="84" t="s">
        <v>150</v>
      </c>
      <c r="I28" s="84" t="s">
        <v>315</v>
      </c>
      <c r="J28" s="84" t="s">
        <v>251</v>
      </c>
      <c r="K28" s="86" t="s">
        <v>553</v>
      </c>
      <c r="L28" s="84" t="s">
        <v>173</v>
      </c>
      <c r="M28" s="86" t="s">
        <v>388</v>
      </c>
      <c r="N28" s="84" t="s">
        <v>348</v>
      </c>
      <c r="O28" s="86" t="s">
        <v>554</v>
      </c>
      <c r="P28" s="84" t="s">
        <v>185</v>
      </c>
      <c r="Q28" s="84" t="s">
        <v>556</v>
      </c>
      <c r="R28" s="88">
        <v>3</v>
      </c>
      <c r="S28" s="84" t="s">
        <v>555</v>
      </c>
      <c r="T28" s="88" t="s">
        <v>149</v>
      </c>
      <c r="U28" s="84" t="s">
        <v>150</v>
      </c>
      <c r="V28" s="84" t="s">
        <v>150</v>
      </c>
      <c r="W28" s="84" t="s">
        <v>149</v>
      </c>
      <c r="X28" s="84" t="s">
        <v>150</v>
      </c>
      <c r="Y28" s="84" t="s">
        <v>149</v>
      </c>
      <c r="Z28" s="84" t="s">
        <v>150</v>
      </c>
      <c r="AA28" s="89"/>
      <c r="AB28" s="84" t="s">
        <v>149</v>
      </c>
      <c r="AC28" s="84" t="s">
        <v>149</v>
      </c>
      <c r="AD28" s="84" t="s">
        <v>150</v>
      </c>
      <c r="AE28" s="84" t="s">
        <v>150</v>
      </c>
      <c r="AF28" s="89"/>
      <c r="AH28" s="90" t="s">
        <v>160</v>
      </c>
      <c r="AI28" s="146" t="s">
        <v>150</v>
      </c>
      <c r="AJ28" s="87" t="s">
        <v>150</v>
      </c>
      <c r="AL28" s="92"/>
      <c r="AM28" s="84" t="s">
        <v>149</v>
      </c>
      <c r="AN28" s="85">
        <v>44368</v>
      </c>
      <c r="AO28" s="84" t="s">
        <v>149</v>
      </c>
      <c r="AP28" s="84" t="s">
        <v>557</v>
      </c>
      <c r="AQ28" s="86"/>
      <c r="AR28" s="91"/>
      <c r="AS28" s="84" t="s">
        <v>149</v>
      </c>
      <c r="AT28" s="84" t="s">
        <v>149</v>
      </c>
      <c r="AU28" s="84" t="s">
        <v>149</v>
      </c>
      <c r="AV28" s="84" t="s">
        <v>149</v>
      </c>
      <c r="AW28" s="84" t="s">
        <v>149</v>
      </c>
      <c r="AX28" s="84" t="s">
        <v>149</v>
      </c>
      <c r="AY28" s="92" t="s">
        <v>149</v>
      </c>
      <c r="AZ28" s="84" t="s">
        <v>149</v>
      </c>
      <c r="BA28" s="84" t="s">
        <v>149</v>
      </c>
      <c r="BB28" s="84" t="s">
        <v>150</v>
      </c>
      <c r="BC28" s="84" t="s">
        <v>149</v>
      </c>
      <c r="BD28" s="84" t="s">
        <v>150</v>
      </c>
      <c r="BE28" s="84" t="s">
        <v>149</v>
      </c>
      <c r="BF28" s="84" t="s">
        <v>150</v>
      </c>
      <c r="BG28" s="87" t="s">
        <v>149</v>
      </c>
      <c r="BH28" s="84" t="s">
        <v>149</v>
      </c>
      <c r="BI28" s="84" t="s">
        <v>149</v>
      </c>
      <c r="BJ28" s="86" t="s">
        <v>149</v>
      </c>
      <c r="BK28" s="84" t="s">
        <v>150</v>
      </c>
      <c r="BL28" s="84" t="s">
        <v>149</v>
      </c>
      <c r="BM28" s="87" t="s">
        <v>149</v>
      </c>
      <c r="BN28" s="84" t="s">
        <v>149</v>
      </c>
      <c r="BO28" s="84" t="s">
        <v>149</v>
      </c>
      <c r="BP28" s="84" t="s">
        <v>149</v>
      </c>
      <c r="BR28" s="84" t="s">
        <v>191</v>
      </c>
      <c r="BT28" s="87" t="s">
        <v>163</v>
      </c>
      <c r="BU28" s="84" t="s">
        <v>164</v>
      </c>
      <c r="BW28" s="92" t="s">
        <v>558</v>
      </c>
      <c r="BX28" s="86" t="s">
        <v>219</v>
      </c>
      <c r="BY28" s="84" t="s">
        <v>149</v>
      </c>
      <c r="BZ28" s="93" t="s">
        <v>559</v>
      </c>
      <c r="CA28" s="94">
        <f>5250+590+509</f>
        <v>6349</v>
      </c>
      <c r="CB28" s="92">
        <v>3</v>
      </c>
      <c r="CC28" s="84">
        <v>3</v>
      </c>
      <c r="CD28" s="95">
        <v>0</v>
      </c>
      <c r="CE28" s="85">
        <v>44713</v>
      </c>
      <c r="CF28" s="84" t="s">
        <v>150</v>
      </c>
      <c r="CH28" s="86"/>
      <c r="CI28" s="84" t="s">
        <v>149</v>
      </c>
      <c r="CJ28" s="92">
        <v>6</v>
      </c>
      <c r="CK28" s="84" t="s">
        <v>149</v>
      </c>
      <c r="CL28" s="92" t="s">
        <v>247</v>
      </c>
      <c r="CM28" s="92" t="s">
        <v>150</v>
      </c>
      <c r="CN28" s="96" t="s">
        <v>150</v>
      </c>
      <c r="CU28" s="97"/>
      <c r="CV28" s="87" t="s">
        <v>150</v>
      </c>
      <c r="CW28" s="97" t="s">
        <v>150</v>
      </c>
      <c r="CX28" s="97"/>
      <c r="DC28" s="97"/>
      <c r="DD28" s="87" t="s">
        <v>150</v>
      </c>
      <c r="DE28" s="97" t="s">
        <v>150</v>
      </c>
      <c r="DF28" s="97"/>
      <c r="DJ28" s="96"/>
      <c r="DK28" s="86"/>
      <c r="DL28" s="84" t="s">
        <v>150</v>
      </c>
      <c r="DM28" s="97" t="s">
        <v>150</v>
      </c>
      <c r="DN28" s="97"/>
      <c r="DS28" s="97"/>
      <c r="DT28" s="90" t="s">
        <v>150</v>
      </c>
      <c r="DU28" s="84" t="s">
        <v>149</v>
      </c>
      <c r="DV28" s="84" t="s">
        <v>247</v>
      </c>
      <c r="DY28" s="87" t="s">
        <v>150</v>
      </c>
      <c r="DZ28" s="84" t="s">
        <v>188</v>
      </c>
      <c r="EB28" s="86" t="s">
        <v>560</v>
      </c>
      <c r="EC28" s="87" t="s">
        <v>149</v>
      </c>
      <c r="ED28" s="97" t="s">
        <v>149</v>
      </c>
      <c r="EE28" s="84" t="s">
        <v>578</v>
      </c>
      <c r="EF28" s="84" t="s">
        <v>150</v>
      </c>
      <c r="EG28" s="84" t="s">
        <v>150</v>
      </c>
      <c r="EI28" s="96" t="s">
        <v>150</v>
      </c>
      <c r="EJ28" s="97"/>
      <c r="EN28" s="96"/>
      <c r="EO28" s="96" t="s">
        <v>150</v>
      </c>
      <c r="EP28" s="125"/>
      <c r="EQ28" s="126" t="s">
        <v>150</v>
      </c>
      <c r="ER28" s="135" t="s">
        <v>166</v>
      </c>
      <c r="ES28" s="84" t="s">
        <v>166</v>
      </c>
      <c r="ET28" s="84" t="s">
        <v>166</v>
      </c>
      <c r="EU28" s="86" t="s">
        <v>171</v>
      </c>
      <c r="EV28" s="95" t="s">
        <v>171</v>
      </c>
      <c r="EW28" s="146" t="str">
        <f t="shared" si="0"/>
        <v>High</v>
      </c>
      <c r="EX28" s="141"/>
      <c r="EY28" s="84" t="s">
        <v>149</v>
      </c>
      <c r="EZ28" s="84" t="s">
        <v>149</v>
      </c>
      <c r="FA28" s="84" t="s">
        <v>150</v>
      </c>
      <c r="FB28" s="86" t="str">
        <f t="shared" si="1"/>
        <v>Partial yes</v>
      </c>
      <c r="FC28" s="84" t="s">
        <v>149</v>
      </c>
      <c r="FD28" s="84" t="s">
        <v>149</v>
      </c>
      <c r="FE28" s="84" t="s">
        <v>149</v>
      </c>
      <c r="FF28" s="84" t="s">
        <v>150</v>
      </c>
      <c r="FG28" s="84" t="s">
        <v>149</v>
      </c>
      <c r="FH28" s="84" t="s">
        <v>149</v>
      </c>
      <c r="FI28" s="84" t="s">
        <v>149</v>
      </c>
      <c r="FJ28" s="84" t="s">
        <v>149</v>
      </c>
      <c r="FK28" s="84" t="s">
        <v>149</v>
      </c>
      <c r="FL28" s="84" t="s">
        <v>149</v>
      </c>
      <c r="FM28" s="84" t="s">
        <v>150</v>
      </c>
      <c r="FN28" s="84" t="s">
        <v>149</v>
      </c>
      <c r="FO28" s="84" t="str">
        <f t="shared" si="2"/>
        <v>Partial yes</v>
      </c>
      <c r="FP28" s="84" t="s">
        <v>149</v>
      </c>
      <c r="FQ28" s="84" t="s">
        <v>149</v>
      </c>
      <c r="FR28" s="84" t="s">
        <v>832</v>
      </c>
      <c r="FS28" s="84" t="str">
        <f t="shared" si="3"/>
        <v>Yes</v>
      </c>
      <c r="FT28" s="84" t="s">
        <v>149</v>
      </c>
      <c r="FU28" s="84" t="s">
        <v>832</v>
      </c>
      <c r="FV28" s="84" t="str">
        <f t="shared" si="4"/>
        <v>Yes</v>
      </c>
      <c r="FW28" s="84" t="str">
        <f t="shared" si="5"/>
        <v>Yes</v>
      </c>
      <c r="FX28" s="84" t="str">
        <f t="shared" si="29"/>
        <v>Yes</v>
      </c>
      <c r="FY28" s="84" t="str">
        <f t="shared" si="34"/>
        <v>No</v>
      </c>
      <c r="FZ28" s="84" t="str">
        <f t="shared" si="7"/>
        <v>Partial yes</v>
      </c>
      <c r="GA28" s="84" t="s">
        <v>149</v>
      </c>
      <c r="GB28" s="84" t="str">
        <f t="shared" si="44"/>
        <v>Yes</v>
      </c>
      <c r="GC28" s="84" t="s">
        <v>149</v>
      </c>
      <c r="GD28" s="84" t="str">
        <f t="shared" si="33"/>
        <v>Yes</v>
      </c>
      <c r="GE28" s="84" t="s">
        <v>149</v>
      </c>
      <c r="GF28" s="84" t="str">
        <f t="shared" si="31"/>
        <v>Yes</v>
      </c>
      <c r="GG28" s="84" t="s">
        <v>149</v>
      </c>
      <c r="GH28" s="84" t="str">
        <f t="shared" si="37"/>
        <v>Yes</v>
      </c>
      <c r="GI28" s="84" t="s">
        <v>149</v>
      </c>
      <c r="GJ28" s="84" t="s">
        <v>832</v>
      </c>
      <c r="GK28" s="84" t="str">
        <f t="shared" si="10"/>
        <v>Yes</v>
      </c>
      <c r="GL28" s="84" t="s">
        <v>149</v>
      </c>
      <c r="GM28" s="84" t="s">
        <v>149</v>
      </c>
      <c r="GN28" s="84" t="str">
        <f t="shared" si="36"/>
        <v>Yes</v>
      </c>
      <c r="GO28" s="84" t="s">
        <v>149</v>
      </c>
      <c r="GP28" s="84" t="s">
        <v>832</v>
      </c>
      <c r="GQ28" s="84" t="str">
        <f t="shared" ref="GQ28:GQ46" si="47">GO28</f>
        <v>Yes</v>
      </c>
      <c r="GR28" s="84" t="s">
        <v>149</v>
      </c>
      <c r="GS28" s="84" t="str">
        <f t="shared" si="38"/>
        <v>Yes</v>
      </c>
      <c r="GT28" s="84" t="s">
        <v>149</v>
      </c>
      <c r="GU28" s="84" t="s">
        <v>149</v>
      </c>
      <c r="GV28" s="84" t="s">
        <v>149</v>
      </c>
      <c r="GW28" s="84" t="s">
        <v>149</v>
      </c>
      <c r="GX28" s="84" t="s">
        <v>150</v>
      </c>
      <c r="GY28" s="84" t="s">
        <v>149</v>
      </c>
      <c r="GZ28" s="84" t="s">
        <v>149</v>
      </c>
      <c r="HA28" s="84" t="str">
        <f t="shared" si="14"/>
        <v>Partial yes</v>
      </c>
      <c r="HB28" s="84" t="s">
        <v>149</v>
      </c>
      <c r="HC28" s="84" t="str">
        <f t="shared" si="42"/>
        <v>Yes</v>
      </c>
      <c r="HD28" s="84" t="s">
        <v>149</v>
      </c>
      <c r="HE28" s="84" t="str">
        <f t="shared" ref="HE28:HE46" si="48">HD28</f>
        <v>Yes</v>
      </c>
      <c r="HF28" s="84" t="s">
        <v>832</v>
      </c>
      <c r="HG28" s="84" t="s">
        <v>832</v>
      </c>
      <c r="HH28" s="84" t="s">
        <v>832</v>
      </c>
      <c r="HI28" s="84" t="s">
        <v>832</v>
      </c>
      <c r="HJ28" s="84" t="s">
        <v>149</v>
      </c>
      <c r="HK28" s="84" t="s">
        <v>832</v>
      </c>
      <c r="HL28" s="84" t="s">
        <v>832</v>
      </c>
      <c r="HM28" s="84" t="s">
        <v>149</v>
      </c>
      <c r="HN28" s="84" t="str">
        <f t="shared" ref="HN28:HN46" si="49">IF(AND(HJ28="Yes",HM28="Yes"),"Yes",IF(OR(HJ28="Yes",HM28="Yes"),"Partial yes","No"))</f>
        <v>Yes</v>
      </c>
      <c r="HO28" s="84" t="s">
        <v>149</v>
      </c>
      <c r="HP28" s="84" t="str">
        <f t="shared" ref="HP28:HP46" si="50">HO28</f>
        <v>Yes</v>
      </c>
      <c r="HQ28" s="84" t="s">
        <v>149</v>
      </c>
      <c r="HR28" s="84" t="s">
        <v>149</v>
      </c>
      <c r="HS28" s="84" t="s">
        <v>149</v>
      </c>
      <c r="HT28" s="84" t="str">
        <f t="shared" si="45"/>
        <v>Yes</v>
      </c>
      <c r="HU28" s="84" t="s">
        <v>149</v>
      </c>
      <c r="HV28" s="84" t="s">
        <v>149</v>
      </c>
      <c r="HW28" s="100" t="s">
        <v>832</v>
      </c>
      <c r="HX28" s="84" t="s">
        <v>149</v>
      </c>
      <c r="HY28" s="84" t="s">
        <v>149</v>
      </c>
      <c r="HZ28" s="84" t="str">
        <f t="shared" si="20"/>
        <v>Partial yes</v>
      </c>
      <c r="IA28" s="84" t="s">
        <v>149</v>
      </c>
      <c r="IB28" s="84" t="str">
        <f t="shared" si="41"/>
        <v>Yes</v>
      </c>
      <c r="IC28" s="84" t="s">
        <v>149</v>
      </c>
      <c r="ID28" s="84" t="str">
        <f t="shared" si="43"/>
        <v>Yes</v>
      </c>
      <c r="IE28" s="84" t="s">
        <v>832</v>
      </c>
      <c r="IF28" s="84" t="s">
        <v>832</v>
      </c>
      <c r="IG28" s="84" t="s">
        <v>832</v>
      </c>
      <c r="IH28" s="84" t="s">
        <v>832</v>
      </c>
      <c r="II28" s="84" t="s">
        <v>832</v>
      </c>
      <c r="IJ28" s="84" t="s">
        <v>149</v>
      </c>
      <c r="IK28" s="84" t="s">
        <v>149</v>
      </c>
      <c r="IL28" s="84" t="s">
        <v>149</v>
      </c>
      <c r="IM28" s="84" t="s">
        <v>150</v>
      </c>
      <c r="IN28" s="84" t="s">
        <v>149</v>
      </c>
      <c r="IP28" s="84" t="s">
        <v>150</v>
      </c>
      <c r="IR28" s="84" t="str">
        <f t="shared" si="46"/>
        <v>Partial yes</v>
      </c>
      <c r="IS28" s="84" t="s">
        <v>149</v>
      </c>
      <c r="IT28" s="84" t="s">
        <v>149</v>
      </c>
      <c r="IU28" s="84" t="s">
        <v>150</v>
      </c>
      <c r="IV28" s="84" t="str">
        <f t="shared" si="24"/>
        <v>Partial yes</v>
      </c>
      <c r="IW28" s="84" t="s">
        <v>149</v>
      </c>
      <c r="IX28" s="84" t="s">
        <v>149</v>
      </c>
      <c r="IY28" s="84" t="str">
        <f t="shared" si="25"/>
        <v>Yes</v>
      </c>
      <c r="IZ28" s="84" t="s">
        <v>149</v>
      </c>
      <c r="JA28" s="84" t="s">
        <v>149</v>
      </c>
      <c r="JB28" s="84" t="str">
        <f t="shared" si="26"/>
        <v>Yes</v>
      </c>
      <c r="JC28" s="84" t="s">
        <v>150</v>
      </c>
      <c r="JD28" s="84" t="s">
        <v>832</v>
      </c>
      <c r="JE28" s="84" t="str">
        <f t="shared" si="27"/>
        <v>No</v>
      </c>
      <c r="JF28" s="84" t="s">
        <v>149</v>
      </c>
      <c r="JG28" s="84" t="s">
        <v>149</v>
      </c>
      <c r="JH28" s="51" t="s">
        <v>150</v>
      </c>
    </row>
    <row r="29" spans="1:268" s="84" customFormat="1" ht="16" x14ac:dyDescent="0.25">
      <c r="A29" s="83">
        <v>33</v>
      </c>
      <c r="B29" s="84" t="s">
        <v>423</v>
      </c>
      <c r="C29" s="84" t="s">
        <v>424</v>
      </c>
      <c r="D29" s="84" t="s">
        <v>425</v>
      </c>
      <c r="E29" s="85">
        <v>45043</v>
      </c>
      <c r="F29" s="84" t="s">
        <v>426</v>
      </c>
      <c r="G29" s="84" t="s">
        <v>150</v>
      </c>
      <c r="H29" s="84" t="s">
        <v>150</v>
      </c>
      <c r="I29" s="84" t="s">
        <v>571</v>
      </c>
      <c r="J29" s="84" t="s">
        <v>345</v>
      </c>
      <c r="K29" s="86" t="s">
        <v>579</v>
      </c>
      <c r="L29" s="84" t="s">
        <v>154</v>
      </c>
      <c r="M29" s="86" t="s">
        <v>572</v>
      </c>
      <c r="N29" s="84" t="s">
        <v>156</v>
      </c>
      <c r="O29" s="86" t="s">
        <v>580</v>
      </c>
      <c r="P29" s="84" t="s">
        <v>158</v>
      </c>
      <c r="Q29" s="84" t="s">
        <v>270</v>
      </c>
      <c r="R29" s="88"/>
      <c r="T29" s="88" t="s">
        <v>150</v>
      </c>
      <c r="U29" s="84" t="s">
        <v>149</v>
      </c>
      <c r="V29" s="84" t="s">
        <v>150</v>
      </c>
      <c r="W29" s="84" t="s">
        <v>150</v>
      </c>
      <c r="X29" s="84" t="s">
        <v>150</v>
      </c>
      <c r="Y29" s="84" t="s">
        <v>150</v>
      </c>
      <c r="Z29" s="84" t="s">
        <v>150</v>
      </c>
      <c r="AA29" s="89"/>
      <c r="AB29" s="84" t="s">
        <v>150</v>
      </c>
      <c r="AC29" s="84" t="s">
        <v>150</v>
      </c>
      <c r="AD29" s="84" t="s">
        <v>149</v>
      </c>
      <c r="AE29" s="84" t="s">
        <v>150</v>
      </c>
      <c r="AF29" s="89"/>
      <c r="AH29" s="90" t="s">
        <v>165</v>
      </c>
      <c r="AI29" s="146" t="s">
        <v>150</v>
      </c>
      <c r="AJ29" s="156" t="s">
        <v>149</v>
      </c>
      <c r="AK29" s="157" t="s">
        <v>581</v>
      </c>
      <c r="AL29" s="158">
        <v>44635</v>
      </c>
      <c r="AM29" s="84" t="s">
        <v>150</v>
      </c>
      <c r="AQ29" s="86"/>
      <c r="AR29" s="91"/>
      <c r="AS29" s="84" t="s">
        <v>149</v>
      </c>
      <c r="AT29" s="84" t="s">
        <v>149</v>
      </c>
      <c r="AU29" s="84" t="s">
        <v>149</v>
      </c>
      <c r="AV29" s="84" t="s">
        <v>150</v>
      </c>
      <c r="AW29" s="84" t="s">
        <v>150</v>
      </c>
      <c r="AX29" s="84" t="s">
        <v>149</v>
      </c>
      <c r="AY29" s="92" t="s">
        <v>149</v>
      </c>
      <c r="AZ29" s="84" t="s">
        <v>150</v>
      </c>
      <c r="BG29" s="87" t="s">
        <v>149</v>
      </c>
      <c r="BH29" s="84" t="s">
        <v>150</v>
      </c>
      <c r="BI29" s="84" t="s">
        <v>150</v>
      </c>
      <c r="BJ29" s="86" t="s">
        <v>149</v>
      </c>
      <c r="BK29" s="84" t="s">
        <v>149</v>
      </c>
      <c r="BL29" s="84" t="s">
        <v>149</v>
      </c>
      <c r="BM29" s="87" t="s">
        <v>149</v>
      </c>
      <c r="BN29" s="84" t="s">
        <v>150</v>
      </c>
      <c r="BO29" s="84" t="s">
        <v>149</v>
      </c>
      <c r="BP29" s="84" t="s">
        <v>150</v>
      </c>
      <c r="BR29" s="84" t="s">
        <v>149</v>
      </c>
      <c r="BT29" s="87" t="s">
        <v>163</v>
      </c>
      <c r="BU29" s="84" t="s">
        <v>573</v>
      </c>
      <c r="BW29" s="92"/>
      <c r="BX29" s="86" t="s">
        <v>165</v>
      </c>
      <c r="BY29" s="84" t="s">
        <v>149</v>
      </c>
      <c r="BZ29" s="93"/>
      <c r="CA29" s="94">
        <f>139+1725</f>
        <v>1864</v>
      </c>
      <c r="CB29" s="92">
        <v>11</v>
      </c>
      <c r="CC29" s="84">
        <v>2</v>
      </c>
      <c r="CD29" s="95">
        <v>9</v>
      </c>
      <c r="CE29" s="85">
        <v>44743</v>
      </c>
      <c r="CF29" s="84" t="s">
        <v>150</v>
      </c>
      <c r="CH29" s="86"/>
      <c r="CI29" s="84" t="s">
        <v>150</v>
      </c>
      <c r="CJ29" s="92"/>
      <c r="CK29" s="84" t="s">
        <v>150</v>
      </c>
      <c r="CL29" s="92"/>
      <c r="CM29" s="92" t="s">
        <v>150</v>
      </c>
      <c r="CN29" s="96" t="s">
        <v>149</v>
      </c>
      <c r="CO29" s="84" t="s">
        <v>149</v>
      </c>
      <c r="CP29" s="84" t="s">
        <v>149</v>
      </c>
      <c r="CQ29" s="84" t="s">
        <v>193</v>
      </c>
      <c r="CS29" s="84" t="s">
        <v>150</v>
      </c>
      <c r="CU29" s="97"/>
      <c r="CV29" s="87" t="s">
        <v>150</v>
      </c>
      <c r="CW29" s="97" t="s">
        <v>150</v>
      </c>
      <c r="CX29" s="97"/>
      <c r="DC29" s="97"/>
      <c r="DD29" s="87" t="s">
        <v>150</v>
      </c>
      <c r="DE29" s="97" t="s">
        <v>150</v>
      </c>
      <c r="DF29" s="97"/>
      <c r="DJ29" s="96"/>
      <c r="DK29" s="86"/>
      <c r="DL29" s="84" t="s">
        <v>150</v>
      </c>
      <c r="DM29" s="97" t="s">
        <v>150</v>
      </c>
      <c r="DN29" s="97"/>
      <c r="DS29" s="97"/>
      <c r="DT29" s="90" t="s">
        <v>150</v>
      </c>
      <c r="DU29" s="84" t="s">
        <v>150</v>
      </c>
      <c r="DW29" s="84" t="s">
        <v>149</v>
      </c>
      <c r="DX29" s="84" t="s">
        <v>582</v>
      </c>
      <c r="DY29" s="87" t="s">
        <v>150</v>
      </c>
      <c r="DZ29" s="84" t="s">
        <v>188</v>
      </c>
      <c r="EB29" s="84" t="s">
        <v>583</v>
      </c>
      <c r="EC29" s="87" t="s">
        <v>149</v>
      </c>
      <c r="ED29" s="97" t="s">
        <v>150</v>
      </c>
      <c r="EF29" s="84" t="s">
        <v>196</v>
      </c>
      <c r="EG29" s="84" t="s">
        <v>150</v>
      </c>
      <c r="EI29" s="96" t="s">
        <v>149</v>
      </c>
      <c r="EJ29" s="97" t="s">
        <v>150</v>
      </c>
      <c r="EK29" s="84" t="s">
        <v>149</v>
      </c>
      <c r="EL29" s="84" t="s">
        <v>150</v>
      </c>
      <c r="EM29" s="84" t="s">
        <v>150</v>
      </c>
      <c r="EN29" s="96"/>
      <c r="EO29" s="96" t="s">
        <v>714</v>
      </c>
      <c r="EP29" s="125"/>
      <c r="EQ29" s="126" t="s">
        <v>150</v>
      </c>
      <c r="ER29" s="135" t="s">
        <v>166</v>
      </c>
      <c r="ES29" s="84" t="s">
        <v>171</v>
      </c>
      <c r="ET29" s="84" t="s">
        <v>171</v>
      </c>
      <c r="EU29" s="86" t="s">
        <v>171</v>
      </c>
      <c r="EV29" s="95" t="s">
        <v>171</v>
      </c>
      <c r="EW29" s="146" t="str">
        <f t="shared" si="0"/>
        <v>High</v>
      </c>
      <c r="EX29" s="141"/>
      <c r="EY29" s="84" t="s">
        <v>149</v>
      </c>
      <c r="EZ29" s="84" t="s">
        <v>149</v>
      </c>
      <c r="FA29" s="84" t="s">
        <v>150</v>
      </c>
      <c r="FB29" s="86" t="str">
        <f t="shared" si="1"/>
        <v>Partial yes</v>
      </c>
      <c r="FC29" s="84" t="s">
        <v>149</v>
      </c>
      <c r="FD29" s="84" t="s">
        <v>149</v>
      </c>
      <c r="FE29" s="84" t="s">
        <v>149</v>
      </c>
      <c r="FF29" s="84" t="s">
        <v>149</v>
      </c>
      <c r="FG29" s="84" t="s">
        <v>150</v>
      </c>
      <c r="FH29" s="84" t="s">
        <v>150</v>
      </c>
      <c r="FI29" s="84" t="s">
        <v>150</v>
      </c>
      <c r="FJ29" s="84" t="s">
        <v>149</v>
      </c>
      <c r="FK29" s="84" t="s">
        <v>149</v>
      </c>
      <c r="FL29" s="84" t="s">
        <v>149</v>
      </c>
      <c r="FM29" s="84" t="s">
        <v>150</v>
      </c>
      <c r="FN29" s="84" t="s">
        <v>150</v>
      </c>
      <c r="FO29" s="84" t="str">
        <f t="shared" si="2"/>
        <v>Partial yes</v>
      </c>
      <c r="FP29" s="84" t="s">
        <v>149</v>
      </c>
      <c r="FQ29" s="84" t="s">
        <v>149</v>
      </c>
      <c r="FR29" s="84" t="s">
        <v>832</v>
      </c>
      <c r="FS29" s="84" t="s">
        <v>149</v>
      </c>
      <c r="FT29" s="84" t="s">
        <v>149</v>
      </c>
      <c r="FU29" s="84" t="s">
        <v>832</v>
      </c>
      <c r="FV29" s="84" t="s">
        <v>149</v>
      </c>
      <c r="FW29" s="84" t="str">
        <f t="shared" si="5"/>
        <v>No</v>
      </c>
      <c r="FX29" s="84" t="str">
        <f t="shared" si="29"/>
        <v>Yes</v>
      </c>
      <c r="FY29" s="84" t="str">
        <f t="shared" si="34"/>
        <v>Yes</v>
      </c>
      <c r="FZ29" s="84" t="str">
        <f t="shared" si="7"/>
        <v>Partial yes</v>
      </c>
      <c r="GA29" s="84" t="s">
        <v>149</v>
      </c>
      <c r="GB29" s="84" t="str">
        <f t="shared" si="44"/>
        <v>Yes</v>
      </c>
      <c r="GC29" s="84" t="s">
        <v>149</v>
      </c>
      <c r="GD29" s="84" t="str">
        <f t="shared" si="33"/>
        <v>Yes</v>
      </c>
      <c r="GE29" s="84" t="s">
        <v>149</v>
      </c>
      <c r="GF29" s="84" t="str">
        <f t="shared" si="31"/>
        <v>Yes</v>
      </c>
      <c r="GG29" s="84" t="s">
        <v>149</v>
      </c>
      <c r="GH29" s="84" t="str">
        <f t="shared" si="37"/>
        <v>Yes</v>
      </c>
      <c r="GI29" s="84" t="s">
        <v>149</v>
      </c>
      <c r="GJ29" s="84" t="s">
        <v>832</v>
      </c>
      <c r="GK29" s="84" t="str">
        <f t="shared" si="10"/>
        <v>Yes</v>
      </c>
      <c r="GL29" s="84" t="s">
        <v>150</v>
      </c>
      <c r="GM29" s="84" t="s">
        <v>150</v>
      </c>
      <c r="GN29" s="84" t="str">
        <f t="shared" si="36"/>
        <v>No</v>
      </c>
      <c r="GO29" s="84" t="s">
        <v>149</v>
      </c>
      <c r="GP29" s="84" t="s">
        <v>832</v>
      </c>
      <c r="GQ29" s="84" t="str">
        <f t="shared" si="47"/>
        <v>Yes</v>
      </c>
      <c r="GR29" s="84" t="s">
        <v>150</v>
      </c>
      <c r="GS29" s="84" t="str">
        <f t="shared" si="38"/>
        <v>No</v>
      </c>
      <c r="GT29" s="84" t="s">
        <v>150</v>
      </c>
      <c r="GU29" s="84" t="s">
        <v>150</v>
      </c>
      <c r="GV29" s="84" t="s">
        <v>150</v>
      </c>
      <c r="GW29" s="84" t="s">
        <v>149</v>
      </c>
      <c r="GX29" s="84" t="s">
        <v>150</v>
      </c>
      <c r="GY29" s="84" t="s">
        <v>149</v>
      </c>
      <c r="GZ29" s="84" t="s">
        <v>149</v>
      </c>
      <c r="HA29" s="84" t="str">
        <f t="shared" si="14"/>
        <v>Partial yes</v>
      </c>
      <c r="HB29" s="84" t="s">
        <v>150</v>
      </c>
      <c r="HC29" s="84" t="str">
        <f t="shared" si="42"/>
        <v>No</v>
      </c>
      <c r="HD29" s="84" t="s">
        <v>149</v>
      </c>
      <c r="HE29" s="84" t="str">
        <f t="shared" si="48"/>
        <v>Yes</v>
      </c>
      <c r="HF29" s="84" t="s">
        <v>832</v>
      </c>
      <c r="HG29" s="84" t="s">
        <v>832</v>
      </c>
      <c r="HH29" s="84" t="s">
        <v>832</v>
      </c>
      <c r="HI29" s="84" t="s">
        <v>832</v>
      </c>
      <c r="HJ29" s="84" t="s">
        <v>149</v>
      </c>
      <c r="HK29" s="84" t="s">
        <v>832</v>
      </c>
      <c r="HL29" s="84" t="s">
        <v>832</v>
      </c>
      <c r="HM29" s="84" t="s">
        <v>149</v>
      </c>
      <c r="HN29" s="84" t="str">
        <f t="shared" si="49"/>
        <v>Yes</v>
      </c>
      <c r="HO29" s="84" t="s">
        <v>149</v>
      </c>
      <c r="HP29" s="84" t="str">
        <f t="shared" si="50"/>
        <v>Yes</v>
      </c>
      <c r="HQ29" s="84" t="s">
        <v>149</v>
      </c>
      <c r="HR29" s="84" t="str">
        <f t="shared" ref="HR29:HR39" si="51">HQ29</f>
        <v>Yes</v>
      </c>
      <c r="HS29" s="84" t="s">
        <v>149</v>
      </c>
      <c r="HT29" s="84" t="str">
        <f t="shared" si="45"/>
        <v>Yes</v>
      </c>
      <c r="HU29" s="84" t="s">
        <v>149</v>
      </c>
      <c r="HV29" s="84" t="s">
        <v>149</v>
      </c>
      <c r="HW29" s="100" t="s">
        <v>832</v>
      </c>
      <c r="HX29" s="84" t="s">
        <v>149</v>
      </c>
      <c r="HY29" s="84" t="s">
        <v>149</v>
      </c>
      <c r="HZ29" s="84" t="str">
        <f t="shared" si="20"/>
        <v>Partial yes</v>
      </c>
      <c r="IA29" s="84" t="s">
        <v>150</v>
      </c>
      <c r="IB29" s="84" t="str">
        <f t="shared" si="41"/>
        <v>No</v>
      </c>
      <c r="IC29" s="84" t="s">
        <v>149</v>
      </c>
      <c r="ID29" s="84" t="str">
        <f t="shared" si="43"/>
        <v>Yes</v>
      </c>
      <c r="IE29" s="84" t="s">
        <v>832</v>
      </c>
      <c r="IF29" s="84" t="s">
        <v>832</v>
      </c>
      <c r="IG29" s="84" t="s">
        <v>832</v>
      </c>
      <c r="IH29" s="84" t="s">
        <v>832</v>
      </c>
      <c r="II29" s="84" t="s">
        <v>832</v>
      </c>
      <c r="IJ29" s="84" t="s">
        <v>149</v>
      </c>
      <c r="IK29" s="84" t="s">
        <v>149</v>
      </c>
      <c r="IL29" s="84" t="s">
        <v>149</v>
      </c>
      <c r="IM29" s="84" t="s">
        <v>150</v>
      </c>
      <c r="IN29" s="84" t="s">
        <v>149</v>
      </c>
      <c r="IP29" s="84" t="s">
        <v>150</v>
      </c>
      <c r="IR29" s="84" t="str">
        <f t="shared" si="46"/>
        <v>Partial yes</v>
      </c>
      <c r="IS29" s="84" t="s">
        <v>149</v>
      </c>
      <c r="IT29" s="84" t="s">
        <v>149</v>
      </c>
      <c r="IU29" s="84" t="s">
        <v>150</v>
      </c>
      <c r="IV29" s="84" t="str">
        <f t="shared" si="24"/>
        <v>Partial yes</v>
      </c>
      <c r="IW29" s="84" t="s">
        <v>149</v>
      </c>
      <c r="IX29" s="84" t="s">
        <v>149</v>
      </c>
      <c r="IY29" s="84" t="str">
        <f t="shared" si="25"/>
        <v>Yes</v>
      </c>
      <c r="IZ29" s="84" t="s">
        <v>149</v>
      </c>
      <c r="JA29" s="84" t="s">
        <v>149</v>
      </c>
      <c r="JB29" s="84" t="str">
        <f t="shared" si="26"/>
        <v>Yes</v>
      </c>
      <c r="JC29" s="84" t="s">
        <v>149</v>
      </c>
      <c r="JD29" s="84" t="s">
        <v>832</v>
      </c>
      <c r="JE29" s="84" t="str">
        <f t="shared" si="27"/>
        <v>Yes</v>
      </c>
      <c r="JF29" s="84" t="s">
        <v>149</v>
      </c>
      <c r="JG29" s="84" t="s">
        <v>149</v>
      </c>
      <c r="JH29" s="51" t="s">
        <v>150</v>
      </c>
    </row>
    <row r="30" spans="1:268" s="84" customFormat="1" ht="16" x14ac:dyDescent="0.25">
      <c r="A30" s="83">
        <v>34</v>
      </c>
      <c r="B30" s="84" t="s">
        <v>427</v>
      </c>
      <c r="C30" s="84" t="s">
        <v>428</v>
      </c>
      <c r="D30" s="84" t="s">
        <v>217</v>
      </c>
      <c r="E30" s="85">
        <v>44929</v>
      </c>
      <c r="F30" s="84" t="s">
        <v>429</v>
      </c>
      <c r="G30" s="84" t="s">
        <v>149</v>
      </c>
      <c r="H30" s="84" t="s">
        <v>150</v>
      </c>
      <c r="I30" s="84" t="s">
        <v>218</v>
      </c>
      <c r="J30" s="84" t="s">
        <v>584</v>
      </c>
      <c r="K30" s="86" t="s">
        <v>585</v>
      </c>
      <c r="L30" s="84" t="s">
        <v>154</v>
      </c>
      <c r="M30" s="86" t="s">
        <v>586</v>
      </c>
      <c r="N30" s="84" t="s">
        <v>717</v>
      </c>
      <c r="O30" s="86" t="s">
        <v>587</v>
      </c>
      <c r="P30" s="84" t="s">
        <v>185</v>
      </c>
      <c r="Q30" s="84" t="s">
        <v>588</v>
      </c>
      <c r="R30" s="88">
        <v>8</v>
      </c>
      <c r="S30" s="84" t="s">
        <v>589</v>
      </c>
      <c r="T30" s="88" t="s">
        <v>149</v>
      </c>
      <c r="U30" s="84" t="s">
        <v>150</v>
      </c>
      <c r="V30" s="84" t="s">
        <v>150</v>
      </c>
      <c r="W30" s="84" t="s">
        <v>149</v>
      </c>
      <c r="X30" s="84" t="s">
        <v>150</v>
      </c>
      <c r="Y30" s="84" t="s">
        <v>149</v>
      </c>
      <c r="Z30" s="84" t="s">
        <v>150</v>
      </c>
      <c r="AA30" s="89"/>
      <c r="AB30" s="84" t="s">
        <v>149</v>
      </c>
      <c r="AC30" s="84" t="s">
        <v>150</v>
      </c>
      <c r="AD30" s="84" t="s">
        <v>150</v>
      </c>
      <c r="AE30" s="84" t="s">
        <v>150</v>
      </c>
      <c r="AF30" s="89"/>
      <c r="AH30" s="90" t="s">
        <v>188</v>
      </c>
      <c r="AI30" s="146" t="s">
        <v>150</v>
      </c>
      <c r="AJ30" s="87" t="s">
        <v>150</v>
      </c>
      <c r="AL30" s="92"/>
      <c r="AM30" s="84" t="s">
        <v>149</v>
      </c>
      <c r="AN30" s="85">
        <v>44266</v>
      </c>
      <c r="AO30" s="84" t="s">
        <v>149</v>
      </c>
      <c r="AP30" s="84" t="s">
        <v>574</v>
      </c>
      <c r="AQ30" s="86"/>
      <c r="AR30" s="91"/>
      <c r="AS30" s="84" t="s">
        <v>149</v>
      </c>
      <c r="AT30" s="84" t="s">
        <v>150</v>
      </c>
      <c r="AU30" s="84" t="s">
        <v>149</v>
      </c>
      <c r="AV30" s="84" t="s">
        <v>150</v>
      </c>
      <c r="AW30" s="84" t="s">
        <v>150</v>
      </c>
      <c r="AX30" s="84" t="s">
        <v>150</v>
      </c>
      <c r="AY30" s="92" t="s">
        <v>149</v>
      </c>
      <c r="AZ30" s="84" t="s">
        <v>149</v>
      </c>
      <c r="BA30" s="84" t="s">
        <v>149</v>
      </c>
      <c r="BB30" s="84" t="s">
        <v>150</v>
      </c>
      <c r="BC30" s="84" t="s">
        <v>150</v>
      </c>
      <c r="BD30" s="84" t="s">
        <v>150</v>
      </c>
      <c r="BE30" s="84" t="s">
        <v>150</v>
      </c>
      <c r="BF30" s="84" t="s">
        <v>150</v>
      </c>
      <c r="BG30" s="87" t="s">
        <v>149</v>
      </c>
      <c r="BH30" s="84" t="s">
        <v>149</v>
      </c>
      <c r="BI30" s="84" t="s">
        <v>149</v>
      </c>
      <c r="BJ30" s="86" t="s">
        <v>149</v>
      </c>
      <c r="BK30" s="84" t="s">
        <v>150</v>
      </c>
      <c r="BL30" s="84" t="s">
        <v>150</v>
      </c>
      <c r="BM30" s="87" t="s">
        <v>149</v>
      </c>
      <c r="BN30" s="84" t="s">
        <v>149</v>
      </c>
      <c r="BO30" s="84" t="s">
        <v>149</v>
      </c>
      <c r="BP30" s="84" t="s">
        <v>149</v>
      </c>
      <c r="BR30" s="84" t="s">
        <v>150</v>
      </c>
      <c r="BS30" s="84" t="s">
        <v>575</v>
      </c>
      <c r="BT30" s="87" t="s">
        <v>165</v>
      </c>
      <c r="BU30" s="84" t="s">
        <v>164</v>
      </c>
      <c r="BW30" s="92"/>
      <c r="BX30" s="86" t="s">
        <v>165</v>
      </c>
      <c r="BY30" s="84" t="s">
        <v>149</v>
      </c>
      <c r="BZ30" s="93"/>
      <c r="CA30" s="94">
        <v>5143</v>
      </c>
      <c r="CB30" s="92">
        <v>70</v>
      </c>
      <c r="CC30" s="84">
        <v>34</v>
      </c>
      <c r="CD30" s="95">
        <v>36</v>
      </c>
      <c r="CE30" s="85">
        <v>44593</v>
      </c>
      <c r="CF30" s="84" t="s">
        <v>150</v>
      </c>
      <c r="CH30" s="86"/>
      <c r="CI30" s="84" t="s">
        <v>150</v>
      </c>
      <c r="CJ30" s="92"/>
      <c r="CK30" s="84" t="s">
        <v>150</v>
      </c>
      <c r="CL30" s="92"/>
      <c r="CM30" s="92" t="s">
        <v>150</v>
      </c>
      <c r="CN30" s="96" t="s">
        <v>150</v>
      </c>
      <c r="CU30" s="97"/>
      <c r="CV30" s="87" t="s">
        <v>150</v>
      </c>
      <c r="CW30" s="97" t="s">
        <v>150</v>
      </c>
      <c r="CX30" s="97"/>
      <c r="DC30" s="97"/>
      <c r="DD30" s="87" t="s">
        <v>150</v>
      </c>
      <c r="DE30" s="97" t="s">
        <v>150</v>
      </c>
      <c r="DF30" s="97"/>
      <c r="DJ30" s="96"/>
      <c r="DK30" s="86"/>
      <c r="DL30" s="84" t="s">
        <v>150</v>
      </c>
      <c r="DM30" s="97" t="s">
        <v>150</v>
      </c>
      <c r="DN30" s="97"/>
      <c r="DS30" s="97"/>
      <c r="DT30" s="90" t="s">
        <v>150</v>
      </c>
      <c r="DU30" s="84" t="s">
        <v>150</v>
      </c>
      <c r="DW30" s="84" t="s">
        <v>149</v>
      </c>
      <c r="DX30" s="84" t="s">
        <v>590</v>
      </c>
      <c r="DY30" s="87" t="s">
        <v>150</v>
      </c>
      <c r="DZ30" s="84" t="s">
        <v>591</v>
      </c>
      <c r="EA30" s="84" t="s">
        <v>723</v>
      </c>
      <c r="EB30" s="86" t="s">
        <v>592</v>
      </c>
      <c r="EC30" s="87" t="s">
        <v>149</v>
      </c>
      <c r="ED30" s="97" t="s">
        <v>150</v>
      </c>
      <c r="EF30" s="84" t="s">
        <v>196</v>
      </c>
      <c r="EG30" s="84" t="s">
        <v>150</v>
      </c>
      <c r="EI30" s="96" t="s">
        <v>149</v>
      </c>
      <c r="EJ30" s="97" t="s">
        <v>149</v>
      </c>
      <c r="EK30" s="84" t="s">
        <v>150</v>
      </c>
      <c r="EL30" s="84" t="s">
        <v>149</v>
      </c>
      <c r="EM30" s="84" t="s">
        <v>150</v>
      </c>
      <c r="EN30" s="96"/>
      <c r="EO30" s="96" t="s">
        <v>260</v>
      </c>
      <c r="EP30" s="125"/>
      <c r="EQ30" s="126" t="s">
        <v>149</v>
      </c>
      <c r="ER30" s="135" t="s">
        <v>166</v>
      </c>
      <c r="ES30" s="84" t="s">
        <v>171</v>
      </c>
      <c r="ET30" s="84" t="s">
        <v>171</v>
      </c>
      <c r="EU30" s="86" t="s">
        <v>171</v>
      </c>
      <c r="EV30" s="95" t="s">
        <v>171</v>
      </c>
      <c r="EW30" s="146" t="str">
        <f t="shared" si="0"/>
        <v>High</v>
      </c>
      <c r="EX30" s="141"/>
      <c r="EY30" s="84" t="s">
        <v>149</v>
      </c>
      <c r="EZ30" s="84" t="s">
        <v>149</v>
      </c>
      <c r="FA30" s="84" t="s">
        <v>150</v>
      </c>
      <c r="FB30" s="86" t="str">
        <f t="shared" si="1"/>
        <v>Partial yes</v>
      </c>
      <c r="FC30" s="84" t="s">
        <v>149</v>
      </c>
      <c r="FD30" s="84" t="s">
        <v>149</v>
      </c>
      <c r="FE30" s="84" t="s">
        <v>149</v>
      </c>
      <c r="FF30" s="84" t="s">
        <v>149</v>
      </c>
      <c r="FG30" s="84" t="s">
        <v>150</v>
      </c>
      <c r="FH30" s="84" t="s">
        <v>150</v>
      </c>
      <c r="FI30" s="84" t="s">
        <v>150</v>
      </c>
      <c r="FJ30" s="84" t="s">
        <v>150</v>
      </c>
      <c r="FK30" s="84" t="s">
        <v>149</v>
      </c>
      <c r="FL30" s="84" t="s">
        <v>149</v>
      </c>
      <c r="FM30" s="84" t="s">
        <v>149</v>
      </c>
      <c r="FN30" s="84" t="s">
        <v>149</v>
      </c>
      <c r="FO30" s="84" t="str">
        <f t="shared" si="2"/>
        <v>Partial yes</v>
      </c>
      <c r="FP30" s="84" t="s">
        <v>149</v>
      </c>
      <c r="FQ30" s="84" t="s">
        <v>149</v>
      </c>
      <c r="FR30" s="84" t="s">
        <v>832</v>
      </c>
      <c r="FS30" s="84" t="str">
        <f t="shared" ref="FS30:FS46" si="52">IF(COUNTIF(FP30:FQ30,"Yes")=COLUMNS(FP30:FQ30),"Yes",IF(COUNTIF(FP30:FQ30,"Yes")=0,"No","Partial yes"))</f>
        <v>Yes</v>
      </c>
      <c r="FT30" s="84" t="s">
        <v>149</v>
      </c>
      <c r="FU30" s="84" t="s">
        <v>832</v>
      </c>
      <c r="FV30" s="84" t="str">
        <f t="shared" ref="FV30:FV46" si="53">FT30</f>
        <v>Yes</v>
      </c>
      <c r="FW30" s="84" t="str">
        <f t="shared" si="5"/>
        <v>No</v>
      </c>
      <c r="FX30" s="84" t="str">
        <f t="shared" si="29"/>
        <v>Yes</v>
      </c>
      <c r="FY30" s="84" t="str">
        <f t="shared" si="34"/>
        <v>Yes</v>
      </c>
      <c r="FZ30" s="84" t="str">
        <f t="shared" si="7"/>
        <v>Partial yes</v>
      </c>
      <c r="GA30" s="84" t="s">
        <v>149</v>
      </c>
      <c r="GB30" s="84" t="str">
        <f t="shared" si="44"/>
        <v>Yes</v>
      </c>
      <c r="GC30" s="84" t="s">
        <v>149</v>
      </c>
      <c r="GD30" s="84" t="str">
        <f t="shared" si="33"/>
        <v>Yes</v>
      </c>
      <c r="GE30" s="84" t="s">
        <v>149</v>
      </c>
      <c r="GF30" s="84" t="str">
        <f t="shared" si="31"/>
        <v>Yes</v>
      </c>
      <c r="GG30" s="84" t="s">
        <v>149</v>
      </c>
      <c r="GH30" s="84" t="str">
        <f t="shared" si="37"/>
        <v>Yes</v>
      </c>
      <c r="GI30" s="84" t="s">
        <v>149</v>
      </c>
      <c r="GJ30" s="84" t="s">
        <v>832</v>
      </c>
      <c r="GK30" s="84" t="str">
        <f t="shared" si="10"/>
        <v>Yes</v>
      </c>
      <c r="GL30" s="84" t="s">
        <v>150</v>
      </c>
      <c r="GM30" s="84" t="s">
        <v>150</v>
      </c>
      <c r="GN30" s="84" t="str">
        <f t="shared" si="36"/>
        <v>No</v>
      </c>
      <c r="GO30" s="84" t="s">
        <v>149</v>
      </c>
      <c r="GP30" s="84" t="s">
        <v>832</v>
      </c>
      <c r="GQ30" s="84" t="str">
        <f t="shared" si="47"/>
        <v>Yes</v>
      </c>
      <c r="GR30" s="84" t="s">
        <v>149</v>
      </c>
      <c r="GS30" s="84" t="str">
        <f t="shared" si="38"/>
        <v>Yes</v>
      </c>
      <c r="GT30" s="84" t="s">
        <v>149</v>
      </c>
      <c r="GU30" s="84" t="s">
        <v>149</v>
      </c>
      <c r="GV30" s="84" t="s">
        <v>149</v>
      </c>
      <c r="GW30" s="84" t="s">
        <v>149</v>
      </c>
      <c r="GX30" s="84" t="s">
        <v>150</v>
      </c>
      <c r="GY30" s="84" t="s">
        <v>149</v>
      </c>
      <c r="GZ30" s="84" t="s">
        <v>149</v>
      </c>
      <c r="HA30" s="84" t="str">
        <f t="shared" si="14"/>
        <v>Partial yes</v>
      </c>
      <c r="HB30" s="84" t="s">
        <v>150</v>
      </c>
      <c r="HC30" s="84" t="str">
        <f t="shared" si="42"/>
        <v>No</v>
      </c>
      <c r="HD30" s="84" t="s">
        <v>149</v>
      </c>
      <c r="HE30" s="84" t="str">
        <f t="shared" si="48"/>
        <v>Yes</v>
      </c>
      <c r="HF30" s="84" t="s">
        <v>832</v>
      </c>
      <c r="HG30" s="84" t="s">
        <v>832</v>
      </c>
      <c r="HH30" s="84" t="s">
        <v>832</v>
      </c>
      <c r="HI30" s="84" t="s">
        <v>832</v>
      </c>
      <c r="HJ30" s="84" t="s">
        <v>149</v>
      </c>
      <c r="HK30" s="84" t="s">
        <v>832</v>
      </c>
      <c r="HL30" s="84" t="s">
        <v>832</v>
      </c>
      <c r="HM30" s="84" t="s">
        <v>149</v>
      </c>
      <c r="HN30" s="84" t="str">
        <f t="shared" si="49"/>
        <v>Yes</v>
      </c>
      <c r="HO30" s="84" t="s">
        <v>149</v>
      </c>
      <c r="HP30" s="84" t="str">
        <f t="shared" si="50"/>
        <v>Yes</v>
      </c>
      <c r="HQ30" s="84" t="s">
        <v>149</v>
      </c>
      <c r="HR30" s="84" t="str">
        <f t="shared" si="51"/>
        <v>Yes</v>
      </c>
      <c r="HS30" s="84" t="s">
        <v>149</v>
      </c>
      <c r="HT30" s="84" t="str">
        <f t="shared" si="45"/>
        <v>Yes</v>
      </c>
      <c r="HU30" s="84" t="s">
        <v>149</v>
      </c>
      <c r="HV30" s="84" t="s">
        <v>149</v>
      </c>
      <c r="HW30" s="100" t="s">
        <v>832</v>
      </c>
      <c r="HX30" s="84" t="s">
        <v>149</v>
      </c>
      <c r="HY30" s="84" t="s">
        <v>149</v>
      </c>
      <c r="HZ30" s="84" t="str">
        <f t="shared" si="20"/>
        <v>Partial yes</v>
      </c>
      <c r="IA30" s="84" t="s">
        <v>150</v>
      </c>
      <c r="IB30" s="84" t="str">
        <f t="shared" si="41"/>
        <v>No</v>
      </c>
      <c r="IC30" s="84" t="s">
        <v>149</v>
      </c>
      <c r="ID30" s="84" t="str">
        <f t="shared" si="43"/>
        <v>Yes</v>
      </c>
      <c r="IE30" s="84" t="s">
        <v>832</v>
      </c>
      <c r="IF30" s="84" t="s">
        <v>832</v>
      </c>
      <c r="IG30" s="84" t="s">
        <v>832</v>
      </c>
      <c r="IH30" s="84" t="s">
        <v>832</v>
      </c>
      <c r="II30" s="84" t="s">
        <v>832</v>
      </c>
      <c r="IJ30" s="84" t="s">
        <v>149</v>
      </c>
      <c r="IK30" s="84" t="s">
        <v>149</v>
      </c>
      <c r="IL30" s="84" t="s">
        <v>149</v>
      </c>
      <c r="IM30" s="84" t="s">
        <v>150</v>
      </c>
      <c r="IN30" s="84" t="s">
        <v>149</v>
      </c>
      <c r="IP30" s="84" t="s">
        <v>150</v>
      </c>
      <c r="IR30" s="84" t="str">
        <f t="shared" si="46"/>
        <v>Partial yes</v>
      </c>
      <c r="IS30" s="84" t="s">
        <v>149</v>
      </c>
      <c r="IT30" s="84" t="s">
        <v>149</v>
      </c>
      <c r="IU30" s="84" t="s">
        <v>150</v>
      </c>
      <c r="IV30" s="84" t="str">
        <f t="shared" si="24"/>
        <v>Partial yes</v>
      </c>
      <c r="IW30" s="84" t="s">
        <v>149</v>
      </c>
      <c r="IX30" s="84" t="s">
        <v>149</v>
      </c>
      <c r="IY30" s="84" t="str">
        <f t="shared" si="25"/>
        <v>Yes</v>
      </c>
      <c r="IZ30" s="84" t="s">
        <v>149</v>
      </c>
      <c r="JA30" s="84" t="s">
        <v>149</v>
      </c>
      <c r="JB30" s="84" t="str">
        <f t="shared" si="26"/>
        <v>Yes</v>
      </c>
      <c r="JC30" s="84" t="s">
        <v>149</v>
      </c>
      <c r="JD30" s="84" t="s">
        <v>832</v>
      </c>
      <c r="JE30" s="84" t="str">
        <f t="shared" si="27"/>
        <v>Yes</v>
      </c>
      <c r="JF30" s="84" t="s">
        <v>149</v>
      </c>
      <c r="JG30" s="84" t="str">
        <f t="shared" ref="JG30:JG41" si="54">JF30</f>
        <v>Yes</v>
      </c>
      <c r="JH30" s="84" t="s">
        <v>149</v>
      </c>
    </row>
    <row r="31" spans="1:268" s="84" customFormat="1" ht="16" x14ac:dyDescent="0.25">
      <c r="A31" s="83">
        <v>29</v>
      </c>
      <c r="B31" s="84" t="s">
        <v>411</v>
      </c>
      <c r="C31" s="84" t="s">
        <v>412</v>
      </c>
      <c r="D31" s="84" t="s">
        <v>178</v>
      </c>
      <c r="E31" s="85">
        <v>44629</v>
      </c>
      <c r="F31" s="84" t="s">
        <v>413</v>
      </c>
      <c r="G31" s="84" t="s">
        <v>149</v>
      </c>
      <c r="H31" s="84" t="s">
        <v>149</v>
      </c>
      <c r="I31" s="84" t="s">
        <v>315</v>
      </c>
      <c r="J31" s="84" t="s">
        <v>202</v>
      </c>
      <c r="K31" s="86" t="s">
        <v>203</v>
      </c>
      <c r="L31" s="84" t="s">
        <v>154</v>
      </c>
      <c r="M31" s="86" t="s">
        <v>538</v>
      </c>
      <c r="N31" s="87" t="s">
        <v>717</v>
      </c>
      <c r="O31" s="86" t="s">
        <v>316</v>
      </c>
      <c r="P31" s="84" t="s">
        <v>185</v>
      </c>
      <c r="Q31" s="84" t="s">
        <v>206</v>
      </c>
      <c r="R31" s="88">
        <v>10</v>
      </c>
      <c r="S31" s="84" t="s">
        <v>539</v>
      </c>
      <c r="T31" s="88" t="s">
        <v>149</v>
      </c>
      <c r="U31" s="84" t="s">
        <v>149</v>
      </c>
      <c r="V31" s="84" t="s">
        <v>149</v>
      </c>
      <c r="W31" s="84" t="s">
        <v>149</v>
      </c>
      <c r="X31" s="84" t="s">
        <v>150</v>
      </c>
      <c r="Y31" s="84" t="s">
        <v>150</v>
      </c>
      <c r="Z31" s="84" t="s">
        <v>150</v>
      </c>
      <c r="AA31" s="89"/>
      <c r="AB31" s="84" t="s">
        <v>149</v>
      </c>
      <c r="AC31" s="84" t="s">
        <v>149</v>
      </c>
      <c r="AD31" s="84" t="s">
        <v>149</v>
      </c>
      <c r="AE31" s="84" t="s">
        <v>150</v>
      </c>
      <c r="AF31" s="89"/>
      <c r="AH31" s="90" t="s">
        <v>188</v>
      </c>
      <c r="AI31" s="146" t="s">
        <v>149</v>
      </c>
      <c r="AJ31" s="165" t="s">
        <v>150</v>
      </c>
      <c r="AL31" s="92"/>
      <c r="AM31" s="159" t="s">
        <v>149</v>
      </c>
      <c r="AN31" s="85">
        <v>44386</v>
      </c>
      <c r="AO31" s="84" t="s">
        <v>149</v>
      </c>
      <c r="AP31" s="84" t="s">
        <v>540</v>
      </c>
      <c r="AQ31" s="86"/>
      <c r="AR31" s="91"/>
      <c r="AS31" s="84" t="s">
        <v>149</v>
      </c>
      <c r="AT31" s="84" t="s">
        <v>149</v>
      </c>
      <c r="AU31" s="84" t="s">
        <v>149</v>
      </c>
      <c r="AV31" s="84" t="s">
        <v>150</v>
      </c>
      <c r="AW31" s="84" t="s">
        <v>149</v>
      </c>
      <c r="AX31" s="84" t="s">
        <v>149</v>
      </c>
      <c r="AY31" s="92" t="s">
        <v>149</v>
      </c>
      <c r="AZ31" s="84" t="s">
        <v>149</v>
      </c>
      <c r="BA31" s="84" t="s">
        <v>149</v>
      </c>
      <c r="BB31" s="84" t="s">
        <v>149</v>
      </c>
      <c r="BC31" s="84" t="s">
        <v>149</v>
      </c>
      <c r="BD31" s="84" t="s">
        <v>150</v>
      </c>
      <c r="BE31" s="84" t="s">
        <v>149</v>
      </c>
      <c r="BF31" s="84" t="s">
        <v>149</v>
      </c>
      <c r="BG31" s="87" t="s">
        <v>149</v>
      </c>
      <c r="BH31" s="84" t="s">
        <v>149</v>
      </c>
      <c r="BI31" s="84" t="s">
        <v>149</v>
      </c>
      <c r="BJ31" s="86" t="s">
        <v>149</v>
      </c>
      <c r="BK31" s="84" t="s">
        <v>149</v>
      </c>
      <c r="BL31" s="84" t="s">
        <v>149</v>
      </c>
      <c r="BM31" s="87" t="s">
        <v>149</v>
      </c>
      <c r="BN31" s="84" t="s">
        <v>149</v>
      </c>
      <c r="BO31" s="84" t="s">
        <v>149</v>
      </c>
      <c r="BP31" s="84" t="s">
        <v>149</v>
      </c>
      <c r="BR31" s="84" t="s">
        <v>191</v>
      </c>
      <c r="BT31" s="87" t="s">
        <v>163</v>
      </c>
      <c r="BU31" s="84" t="s">
        <v>165</v>
      </c>
      <c r="BW31" s="92"/>
      <c r="BX31" s="86" t="s">
        <v>165</v>
      </c>
      <c r="BY31" s="84" t="s">
        <v>149</v>
      </c>
      <c r="BZ31" s="93" t="s">
        <v>545</v>
      </c>
      <c r="CA31" s="94">
        <v>1329</v>
      </c>
      <c r="CB31" s="92">
        <v>18</v>
      </c>
      <c r="CC31" s="84">
        <v>18</v>
      </c>
      <c r="CD31" s="95">
        <v>0</v>
      </c>
      <c r="CE31" s="85">
        <v>44476</v>
      </c>
      <c r="CF31" s="84" t="s">
        <v>150</v>
      </c>
      <c r="CH31" s="86"/>
      <c r="CI31" s="84" t="s">
        <v>150</v>
      </c>
      <c r="CJ31" s="92"/>
      <c r="CK31" s="84" t="s">
        <v>149</v>
      </c>
      <c r="CL31" s="92" t="s">
        <v>220</v>
      </c>
      <c r="CM31" s="92" t="s">
        <v>149</v>
      </c>
      <c r="CN31" s="96" t="s">
        <v>149</v>
      </c>
      <c r="CO31" s="84" t="s">
        <v>149</v>
      </c>
      <c r="CP31" s="84" t="s">
        <v>150</v>
      </c>
      <c r="CS31" s="84" t="s">
        <v>150</v>
      </c>
      <c r="CU31" s="97" t="s">
        <v>835</v>
      </c>
      <c r="CV31" s="87" t="s">
        <v>150</v>
      </c>
      <c r="CW31" s="97" t="s">
        <v>150</v>
      </c>
      <c r="CX31" s="97"/>
      <c r="DC31" s="97"/>
      <c r="DD31" s="87" t="s">
        <v>150</v>
      </c>
      <c r="DE31" s="97" t="s">
        <v>150</v>
      </c>
      <c r="DF31" s="97"/>
      <c r="DJ31" s="96"/>
      <c r="DK31" s="86"/>
      <c r="DL31" s="84" t="s">
        <v>150</v>
      </c>
      <c r="DM31" s="97" t="s">
        <v>150</v>
      </c>
      <c r="DN31" s="97"/>
      <c r="DS31" s="97"/>
      <c r="DT31" s="90" t="s">
        <v>150</v>
      </c>
      <c r="DU31" s="84" t="s">
        <v>150</v>
      </c>
      <c r="DW31" s="84" t="s">
        <v>149</v>
      </c>
      <c r="DX31" s="84" t="s">
        <v>541</v>
      </c>
      <c r="DY31" s="87" t="s">
        <v>150</v>
      </c>
      <c r="DZ31" s="84" t="s">
        <v>150</v>
      </c>
      <c r="EB31" s="86"/>
      <c r="EC31" s="87" t="s">
        <v>149</v>
      </c>
      <c r="ED31" s="97" t="s">
        <v>150</v>
      </c>
      <c r="EF31" s="84" t="s">
        <v>196</v>
      </c>
      <c r="EG31" s="84" t="s">
        <v>150</v>
      </c>
      <c r="EI31" s="96" t="s">
        <v>150</v>
      </c>
      <c r="EJ31" s="97"/>
      <c r="EN31" s="96"/>
      <c r="EO31" s="96"/>
      <c r="EP31" s="125"/>
      <c r="EQ31" s="126" t="s">
        <v>150</v>
      </c>
      <c r="ER31" s="135" t="s">
        <v>166</v>
      </c>
      <c r="ES31" s="84" t="s">
        <v>166</v>
      </c>
      <c r="ET31" s="84" t="s">
        <v>166</v>
      </c>
      <c r="EU31" s="86" t="s">
        <v>166</v>
      </c>
      <c r="EV31" s="95" t="s">
        <v>166</v>
      </c>
      <c r="EW31" s="146" t="str">
        <f t="shared" si="0"/>
        <v>Low</v>
      </c>
      <c r="EX31" s="141"/>
      <c r="EY31" s="84" t="s">
        <v>150</v>
      </c>
      <c r="EZ31" s="84" t="s">
        <v>150</v>
      </c>
      <c r="FA31" s="84" t="s">
        <v>150</v>
      </c>
      <c r="FB31" s="86" t="str">
        <f t="shared" si="1"/>
        <v>No</v>
      </c>
      <c r="FC31" s="84" t="s">
        <v>150</v>
      </c>
      <c r="FD31" s="84" t="s">
        <v>149</v>
      </c>
      <c r="FE31" s="84" t="s">
        <v>149</v>
      </c>
      <c r="FF31" s="84" t="s">
        <v>149</v>
      </c>
      <c r="FG31" s="84" t="s">
        <v>149</v>
      </c>
      <c r="FH31" s="84" t="s">
        <v>150</v>
      </c>
      <c r="FI31" s="84" t="s">
        <v>149</v>
      </c>
      <c r="FJ31" s="84" t="s">
        <v>149</v>
      </c>
      <c r="FK31" s="84" t="s">
        <v>149</v>
      </c>
      <c r="FL31" s="84" t="s">
        <v>149</v>
      </c>
      <c r="FM31" s="84" t="s">
        <v>150</v>
      </c>
      <c r="FN31" s="84" t="s">
        <v>150</v>
      </c>
      <c r="FO31" s="84" t="str">
        <f t="shared" si="2"/>
        <v>Partial yes</v>
      </c>
      <c r="FP31" s="84" t="s">
        <v>149</v>
      </c>
      <c r="FQ31" s="84" t="s">
        <v>149</v>
      </c>
      <c r="FR31" s="84" t="s">
        <v>832</v>
      </c>
      <c r="FS31" s="84" t="str">
        <f t="shared" si="52"/>
        <v>Yes</v>
      </c>
      <c r="FT31" s="84" t="s">
        <v>149</v>
      </c>
      <c r="FU31" s="84" t="s">
        <v>832</v>
      </c>
      <c r="FV31" s="84" t="str">
        <f t="shared" si="53"/>
        <v>Yes</v>
      </c>
      <c r="FW31" s="84" t="str">
        <f t="shared" si="5"/>
        <v>Yes</v>
      </c>
      <c r="FX31" s="84" t="str">
        <f t="shared" si="29"/>
        <v>Yes</v>
      </c>
      <c r="FY31" s="84" t="str">
        <f t="shared" si="34"/>
        <v>No</v>
      </c>
      <c r="FZ31" s="84" t="str">
        <f t="shared" si="7"/>
        <v>Partial yes</v>
      </c>
      <c r="GA31" s="84" t="s">
        <v>149</v>
      </c>
      <c r="GB31" s="84" t="str">
        <f t="shared" si="44"/>
        <v>Yes</v>
      </c>
      <c r="GC31" s="84" t="s">
        <v>149</v>
      </c>
      <c r="GD31" s="84" t="str">
        <f t="shared" si="33"/>
        <v>Yes</v>
      </c>
      <c r="GE31" s="84" t="s">
        <v>149</v>
      </c>
      <c r="GF31" s="84" t="str">
        <f t="shared" si="31"/>
        <v>Yes</v>
      </c>
      <c r="GG31" s="84" t="s">
        <v>149</v>
      </c>
      <c r="GH31" s="84" t="str">
        <f t="shared" si="37"/>
        <v>Yes</v>
      </c>
      <c r="GI31" s="84" t="s">
        <v>149</v>
      </c>
      <c r="GJ31" s="84" t="s">
        <v>832</v>
      </c>
      <c r="GK31" s="84" t="str">
        <f t="shared" si="10"/>
        <v>Yes</v>
      </c>
      <c r="GL31" s="84" t="s">
        <v>149</v>
      </c>
      <c r="GM31" s="84" t="s">
        <v>149</v>
      </c>
      <c r="GN31" s="84" t="str">
        <f t="shared" si="36"/>
        <v>Yes</v>
      </c>
      <c r="GO31" s="84" t="s">
        <v>149</v>
      </c>
      <c r="GP31" s="84" t="s">
        <v>832</v>
      </c>
      <c r="GQ31" s="84" t="str">
        <f t="shared" si="47"/>
        <v>Yes</v>
      </c>
      <c r="GR31" s="84" t="s">
        <v>149</v>
      </c>
      <c r="GS31" s="84" t="str">
        <f t="shared" si="38"/>
        <v>Yes</v>
      </c>
      <c r="GT31" s="84" t="s">
        <v>149</v>
      </c>
      <c r="GU31" s="84" t="s">
        <v>149</v>
      </c>
      <c r="GV31" s="84" t="s">
        <v>149</v>
      </c>
      <c r="GW31" s="84" t="s">
        <v>149</v>
      </c>
      <c r="GX31" s="84" t="s">
        <v>150</v>
      </c>
      <c r="GY31" s="84" t="s">
        <v>150</v>
      </c>
      <c r="GZ31" s="84" t="s">
        <v>149</v>
      </c>
      <c r="HA31" s="84" t="str">
        <f t="shared" si="14"/>
        <v>Partial yes</v>
      </c>
      <c r="HB31" s="84" t="s">
        <v>149</v>
      </c>
      <c r="HC31" s="84" t="str">
        <f t="shared" si="42"/>
        <v>Yes</v>
      </c>
      <c r="HD31" s="84" t="s">
        <v>149</v>
      </c>
      <c r="HE31" s="84" t="str">
        <f t="shared" si="48"/>
        <v>Yes</v>
      </c>
      <c r="HF31" s="84" t="s">
        <v>832</v>
      </c>
      <c r="HG31" s="84" t="s">
        <v>832</v>
      </c>
      <c r="HH31" s="84" t="s">
        <v>832</v>
      </c>
      <c r="HI31" s="84" t="s">
        <v>832</v>
      </c>
      <c r="HJ31" s="84" t="s">
        <v>149</v>
      </c>
      <c r="HK31" s="84" t="s">
        <v>832</v>
      </c>
      <c r="HL31" s="84" t="s">
        <v>832</v>
      </c>
      <c r="HM31" s="84" t="s">
        <v>149</v>
      </c>
      <c r="HN31" s="84" t="str">
        <f t="shared" si="49"/>
        <v>Yes</v>
      </c>
      <c r="HO31" s="84" t="s">
        <v>149</v>
      </c>
      <c r="HP31" s="84" t="str">
        <f t="shared" si="50"/>
        <v>Yes</v>
      </c>
      <c r="HQ31" s="84" t="s">
        <v>149</v>
      </c>
      <c r="HR31" s="84" t="str">
        <f t="shared" si="51"/>
        <v>Yes</v>
      </c>
      <c r="HS31" s="84" t="s">
        <v>149</v>
      </c>
      <c r="HT31" s="84" t="str">
        <f t="shared" si="45"/>
        <v>Yes</v>
      </c>
      <c r="HU31" s="84" t="s">
        <v>149</v>
      </c>
      <c r="HV31" s="84" t="s">
        <v>149</v>
      </c>
      <c r="HW31" s="100" t="s">
        <v>832</v>
      </c>
      <c r="HX31" s="84" t="s">
        <v>149</v>
      </c>
      <c r="HY31" s="84" t="s">
        <v>149</v>
      </c>
      <c r="HZ31" s="84" t="str">
        <f t="shared" si="20"/>
        <v>Partial yes</v>
      </c>
      <c r="IA31" s="84" t="s">
        <v>149</v>
      </c>
      <c r="IB31" s="84" t="str">
        <f t="shared" si="41"/>
        <v>Yes</v>
      </c>
      <c r="IC31" s="84" t="s">
        <v>149</v>
      </c>
      <c r="ID31" s="84" t="str">
        <f t="shared" si="43"/>
        <v>Yes</v>
      </c>
      <c r="IE31" s="84" t="s">
        <v>832</v>
      </c>
      <c r="IF31" s="84" t="s">
        <v>832</v>
      </c>
      <c r="IG31" s="84" t="s">
        <v>832</v>
      </c>
      <c r="IH31" s="84" t="s">
        <v>832</v>
      </c>
      <c r="II31" s="84" t="s">
        <v>832</v>
      </c>
      <c r="IJ31" s="84" t="s">
        <v>149</v>
      </c>
      <c r="IK31" s="84" t="s">
        <v>149</v>
      </c>
      <c r="IL31" s="84" t="s">
        <v>149</v>
      </c>
      <c r="IM31" s="84" t="s">
        <v>150</v>
      </c>
      <c r="IN31" s="84" t="s">
        <v>149</v>
      </c>
      <c r="IP31" s="84" t="s">
        <v>150</v>
      </c>
      <c r="IR31" s="84" t="str">
        <f t="shared" si="46"/>
        <v>Partial yes</v>
      </c>
      <c r="IS31" s="84" t="s">
        <v>149</v>
      </c>
      <c r="IT31" s="84" t="s">
        <v>149</v>
      </c>
      <c r="IU31" s="84" t="s">
        <v>149</v>
      </c>
      <c r="IV31" s="84" t="str">
        <f t="shared" si="24"/>
        <v>Yes</v>
      </c>
      <c r="IW31" s="84" t="s">
        <v>149</v>
      </c>
      <c r="IX31" s="84" t="s">
        <v>149</v>
      </c>
      <c r="IY31" s="84" t="str">
        <f t="shared" si="25"/>
        <v>Yes</v>
      </c>
      <c r="IZ31" s="84" t="s">
        <v>149</v>
      </c>
      <c r="JA31" s="84" t="s">
        <v>149</v>
      </c>
      <c r="JB31" s="84" t="str">
        <f t="shared" si="26"/>
        <v>Yes</v>
      </c>
      <c r="JC31" s="84" t="s">
        <v>149</v>
      </c>
      <c r="JD31" s="84" t="s">
        <v>832</v>
      </c>
      <c r="JE31" s="84" t="str">
        <f t="shared" si="27"/>
        <v>Yes</v>
      </c>
      <c r="JF31" s="84" t="s">
        <v>149</v>
      </c>
      <c r="JG31" s="84" t="str">
        <f t="shared" si="54"/>
        <v>Yes</v>
      </c>
      <c r="JH31" s="51" t="s">
        <v>150</v>
      </c>
    </row>
    <row r="32" spans="1:268" s="84" customFormat="1" ht="16" x14ac:dyDescent="0.25">
      <c r="A32" s="83">
        <v>37</v>
      </c>
      <c r="B32" s="84" t="s">
        <v>433</v>
      </c>
      <c r="C32" s="84" t="s">
        <v>393</v>
      </c>
      <c r="D32" s="84" t="s">
        <v>434</v>
      </c>
      <c r="E32" s="85">
        <v>44987</v>
      </c>
      <c r="F32" s="84" t="s">
        <v>435</v>
      </c>
      <c r="G32" s="84" t="s">
        <v>150</v>
      </c>
      <c r="H32" s="84" t="s">
        <v>150</v>
      </c>
      <c r="I32" s="84" t="s">
        <v>218</v>
      </c>
      <c r="J32" s="84" t="s">
        <v>265</v>
      </c>
      <c r="K32" s="86" t="s">
        <v>561</v>
      </c>
      <c r="L32" s="84" t="s">
        <v>154</v>
      </c>
      <c r="M32" s="86" t="s">
        <v>597</v>
      </c>
      <c r="N32" s="84" t="s">
        <v>348</v>
      </c>
      <c r="O32" s="86" t="s">
        <v>598</v>
      </c>
      <c r="P32" s="84" t="s">
        <v>185</v>
      </c>
      <c r="Q32" s="84" t="s">
        <v>270</v>
      </c>
      <c r="R32" s="88">
        <v>4</v>
      </c>
      <c r="S32" s="84" t="s">
        <v>599</v>
      </c>
      <c r="T32" s="88" t="s">
        <v>149</v>
      </c>
      <c r="U32" s="84" t="s">
        <v>149</v>
      </c>
      <c r="V32" s="84" t="s">
        <v>150</v>
      </c>
      <c r="W32" s="84" t="s">
        <v>149</v>
      </c>
      <c r="X32" s="84" t="s">
        <v>150</v>
      </c>
      <c r="Y32" s="84" t="s">
        <v>149</v>
      </c>
      <c r="Z32" s="84" t="s">
        <v>150</v>
      </c>
      <c r="AA32" s="89"/>
      <c r="AB32" s="84" t="s">
        <v>149</v>
      </c>
      <c r="AC32" s="84" t="s">
        <v>149</v>
      </c>
      <c r="AD32" s="84" t="s">
        <v>149</v>
      </c>
      <c r="AE32" s="84" t="s">
        <v>150</v>
      </c>
      <c r="AF32" s="89"/>
      <c r="AH32" s="90" t="s">
        <v>165</v>
      </c>
      <c r="AI32" s="146" t="s">
        <v>149</v>
      </c>
      <c r="AJ32" s="87" t="s">
        <v>150</v>
      </c>
      <c r="AL32" s="92"/>
      <c r="AM32" s="84" t="s">
        <v>150</v>
      </c>
      <c r="AQ32" s="86"/>
      <c r="AR32" s="91"/>
      <c r="AS32" s="84" t="s">
        <v>149</v>
      </c>
      <c r="AT32" s="84" t="s">
        <v>149</v>
      </c>
      <c r="AU32" s="84" t="s">
        <v>149</v>
      </c>
      <c r="AV32" s="84" t="s">
        <v>150</v>
      </c>
      <c r="AW32" s="84" t="s">
        <v>150</v>
      </c>
      <c r="AX32" s="84" t="s">
        <v>149</v>
      </c>
      <c r="AY32" s="92" t="s">
        <v>149</v>
      </c>
      <c r="AZ32" s="84" t="s">
        <v>150</v>
      </c>
      <c r="BG32" s="87" t="s">
        <v>149</v>
      </c>
      <c r="BH32" s="84" t="s">
        <v>149</v>
      </c>
      <c r="BI32" s="84" t="s">
        <v>150</v>
      </c>
      <c r="BJ32" s="86" t="s">
        <v>149</v>
      </c>
      <c r="BK32" s="84" t="s">
        <v>150</v>
      </c>
      <c r="BL32" s="84" t="s">
        <v>149</v>
      </c>
      <c r="BM32" s="87" t="s">
        <v>149</v>
      </c>
      <c r="BN32" s="84" t="s">
        <v>149</v>
      </c>
      <c r="BO32" s="84" t="s">
        <v>149</v>
      </c>
      <c r="BP32" s="84" t="s">
        <v>149</v>
      </c>
      <c r="BR32" s="84" t="s">
        <v>191</v>
      </c>
      <c r="BT32" s="87" t="s">
        <v>165</v>
      </c>
      <c r="BU32" s="84" t="s">
        <v>165</v>
      </c>
      <c r="BW32" s="92"/>
      <c r="BX32" s="86" t="s">
        <v>165</v>
      </c>
      <c r="BY32" s="84" t="s">
        <v>149</v>
      </c>
      <c r="BZ32" s="93"/>
      <c r="CA32" s="94">
        <v>24418</v>
      </c>
      <c r="CB32" s="92">
        <v>10</v>
      </c>
      <c r="CC32" s="84">
        <v>10</v>
      </c>
      <c r="CD32" s="95">
        <v>0</v>
      </c>
      <c r="CE32" s="85">
        <v>44752</v>
      </c>
      <c r="CF32" s="84" t="s">
        <v>149</v>
      </c>
      <c r="CG32" s="85">
        <v>44363</v>
      </c>
      <c r="CH32" s="86"/>
      <c r="CI32" s="84" t="s">
        <v>150</v>
      </c>
      <c r="CJ32" s="92"/>
      <c r="CK32" s="84" t="s">
        <v>149</v>
      </c>
      <c r="CL32" s="92" t="s">
        <v>220</v>
      </c>
      <c r="CM32" s="92" t="s">
        <v>150</v>
      </c>
      <c r="CN32" s="96" t="s">
        <v>149</v>
      </c>
      <c r="CO32" s="84" t="s">
        <v>149</v>
      </c>
      <c r="CP32" s="84" t="s">
        <v>149</v>
      </c>
      <c r="CQ32" s="84" t="s">
        <v>193</v>
      </c>
      <c r="CS32" s="84" t="s">
        <v>150</v>
      </c>
      <c r="CU32" s="97" t="s">
        <v>601</v>
      </c>
      <c r="CV32" s="87" t="s">
        <v>150</v>
      </c>
      <c r="CW32" s="97" t="s">
        <v>149</v>
      </c>
      <c r="CX32" s="97" t="s">
        <v>149</v>
      </c>
      <c r="CY32" s="84" t="s">
        <v>193</v>
      </c>
      <c r="DA32" s="84" t="s">
        <v>150</v>
      </c>
      <c r="DC32" s="97" t="s">
        <v>601</v>
      </c>
      <c r="DD32" s="87" t="s">
        <v>150</v>
      </c>
      <c r="DE32" s="97" t="s">
        <v>149</v>
      </c>
      <c r="DF32" s="97" t="s">
        <v>149</v>
      </c>
      <c r="DG32" s="84" t="s">
        <v>193</v>
      </c>
      <c r="DI32" s="84" t="s">
        <v>150</v>
      </c>
      <c r="DJ32" s="96"/>
      <c r="DK32" s="86" t="s">
        <v>602</v>
      </c>
      <c r="DL32" s="84" t="s">
        <v>150</v>
      </c>
      <c r="DM32" s="97" t="s">
        <v>150</v>
      </c>
      <c r="DN32" s="97"/>
      <c r="DS32" s="97"/>
      <c r="DT32" s="90" t="s">
        <v>150</v>
      </c>
      <c r="DU32" s="84" t="s">
        <v>150</v>
      </c>
      <c r="DW32" s="84" t="s">
        <v>150</v>
      </c>
      <c r="DY32" s="87" t="s">
        <v>150</v>
      </c>
      <c r="DZ32" s="84" t="s">
        <v>150</v>
      </c>
      <c r="EB32" s="86"/>
      <c r="EC32" s="87" t="s">
        <v>149</v>
      </c>
      <c r="ED32" s="97" t="s">
        <v>149</v>
      </c>
      <c r="EE32" s="84" t="s">
        <v>600</v>
      </c>
      <c r="EF32" s="84" t="s">
        <v>150</v>
      </c>
      <c r="EG32" s="84" t="s">
        <v>150</v>
      </c>
      <c r="EI32" s="96" t="s">
        <v>149</v>
      </c>
      <c r="EJ32" s="97" t="s">
        <v>150</v>
      </c>
      <c r="EK32" s="84" t="s">
        <v>149</v>
      </c>
      <c r="EL32" s="84" t="s">
        <v>150</v>
      </c>
      <c r="EM32" s="84" t="s">
        <v>150</v>
      </c>
      <c r="EN32" s="96"/>
      <c r="EO32" s="96" t="s">
        <v>715</v>
      </c>
      <c r="EP32" s="95"/>
      <c r="EQ32" s="126" t="s">
        <v>149</v>
      </c>
      <c r="ER32" s="135" t="s">
        <v>171</v>
      </c>
      <c r="ES32" s="84" t="s">
        <v>171</v>
      </c>
      <c r="ET32" s="84" t="s">
        <v>171</v>
      </c>
      <c r="EU32" s="86" t="s">
        <v>171</v>
      </c>
      <c r="EV32" s="95" t="s">
        <v>171</v>
      </c>
      <c r="EW32" s="146" t="str">
        <f t="shared" si="0"/>
        <v>High</v>
      </c>
      <c r="EX32" s="141"/>
      <c r="EY32" s="84" t="s">
        <v>149</v>
      </c>
      <c r="EZ32" s="84" t="s">
        <v>149</v>
      </c>
      <c r="FA32" s="84" t="s">
        <v>150</v>
      </c>
      <c r="FB32" s="86" t="str">
        <f t="shared" si="1"/>
        <v>Partial yes</v>
      </c>
      <c r="FC32" s="84" t="s">
        <v>149</v>
      </c>
      <c r="FD32" s="84" t="s">
        <v>149</v>
      </c>
      <c r="FE32" s="84" t="s">
        <v>149</v>
      </c>
      <c r="FF32" s="84" t="s">
        <v>149</v>
      </c>
      <c r="FG32" s="84" t="s">
        <v>150</v>
      </c>
      <c r="FH32" s="84" t="s">
        <v>149</v>
      </c>
      <c r="FI32" s="84" t="s">
        <v>149</v>
      </c>
      <c r="FJ32" s="84" t="s">
        <v>149</v>
      </c>
      <c r="FK32" s="84" t="s">
        <v>150</v>
      </c>
      <c r="FL32" s="84" t="s">
        <v>149</v>
      </c>
      <c r="FM32" s="84" t="s">
        <v>150</v>
      </c>
      <c r="FN32" s="84" t="s">
        <v>150</v>
      </c>
      <c r="FO32" s="84" t="str">
        <f t="shared" si="2"/>
        <v>Partial yes</v>
      </c>
      <c r="FP32" s="84" t="s">
        <v>149</v>
      </c>
      <c r="FQ32" s="84" t="s">
        <v>150</v>
      </c>
      <c r="FR32" s="84" t="s">
        <v>832</v>
      </c>
      <c r="FS32" s="84" t="str">
        <f t="shared" si="52"/>
        <v>Partial yes</v>
      </c>
      <c r="FT32" s="84" t="s">
        <v>149</v>
      </c>
      <c r="FU32" s="84" t="s">
        <v>832</v>
      </c>
      <c r="FV32" s="84" t="str">
        <f t="shared" si="53"/>
        <v>Yes</v>
      </c>
      <c r="FW32" s="84" t="str">
        <f t="shared" si="5"/>
        <v>Yes</v>
      </c>
      <c r="FX32" s="84" t="str">
        <f t="shared" si="29"/>
        <v>No</v>
      </c>
      <c r="FY32" s="84" t="str">
        <f t="shared" si="34"/>
        <v>Yes</v>
      </c>
      <c r="FZ32" s="84" t="str">
        <f t="shared" si="7"/>
        <v>Partial yes</v>
      </c>
      <c r="GA32" s="84" t="s">
        <v>149</v>
      </c>
      <c r="GB32" s="84" t="str">
        <f t="shared" si="44"/>
        <v>Yes</v>
      </c>
      <c r="GC32" s="84" t="s">
        <v>149</v>
      </c>
      <c r="GD32" s="84" t="str">
        <f t="shared" si="33"/>
        <v>Yes</v>
      </c>
      <c r="GE32" s="84" t="s">
        <v>149</v>
      </c>
      <c r="GF32" s="84" t="str">
        <f t="shared" si="31"/>
        <v>Yes</v>
      </c>
      <c r="GG32" s="84" t="s">
        <v>150</v>
      </c>
      <c r="GH32" s="84" t="str">
        <f t="shared" si="37"/>
        <v>No</v>
      </c>
      <c r="GI32" s="84" t="s">
        <v>149</v>
      </c>
      <c r="GJ32" s="84" t="s">
        <v>832</v>
      </c>
      <c r="GK32" s="84" t="str">
        <f t="shared" si="10"/>
        <v>Yes</v>
      </c>
      <c r="GL32" s="84" t="s">
        <v>150</v>
      </c>
      <c r="GM32" s="84" t="s">
        <v>150</v>
      </c>
      <c r="GN32" s="84" t="str">
        <f t="shared" si="36"/>
        <v>No</v>
      </c>
      <c r="GO32" s="84" t="s">
        <v>149</v>
      </c>
      <c r="GP32" s="84" t="s">
        <v>832</v>
      </c>
      <c r="GQ32" s="84" t="str">
        <f t="shared" si="47"/>
        <v>Yes</v>
      </c>
      <c r="GR32" s="84" t="s">
        <v>150</v>
      </c>
      <c r="GS32" s="84" t="str">
        <f t="shared" si="38"/>
        <v>No</v>
      </c>
      <c r="GT32" s="84" t="s">
        <v>150</v>
      </c>
      <c r="GU32" s="84" t="s">
        <v>149</v>
      </c>
      <c r="GV32" s="84" t="s">
        <v>149</v>
      </c>
      <c r="GW32" s="84" t="s">
        <v>149</v>
      </c>
      <c r="GX32" s="84" t="s">
        <v>150</v>
      </c>
      <c r="GY32" s="84" t="s">
        <v>149</v>
      </c>
      <c r="GZ32" s="84" t="s">
        <v>150</v>
      </c>
      <c r="HA32" s="84" t="str">
        <f t="shared" si="14"/>
        <v>Partial yes</v>
      </c>
      <c r="HB32" s="84" t="s">
        <v>150</v>
      </c>
      <c r="HC32" s="84" t="str">
        <f t="shared" si="42"/>
        <v>No</v>
      </c>
      <c r="HD32" s="84" t="s">
        <v>149</v>
      </c>
      <c r="HE32" s="84" t="str">
        <f t="shared" si="48"/>
        <v>Yes</v>
      </c>
      <c r="HF32" s="84" t="s">
        <v>832</v>
      </c>
      <c r="HG32" s="84" t="s">
        <v>832</v>
      </c>
      <c r="HH32" s="84" t="s">
        <v>832</v>
      </c>
      <c r="HI32" s="84" t="s">
        <v>832</v>
      </c>
      <c r="HJ32" s="84" t="s">
        <v>149</v>
      </c>
      <c r="HK32" s="84" t="s">
        <v>832</v>
      </c>
      <c r="HL32" s="84" t="s">
        <v>832</v>
      </c>
      <c r="HM32" s="84" t="s">
        <v>149</v>
      </c>
      <c r="HN32" s="84" t="str">
        <f t="shared" si="49"/>
        <v>Yes</v>
      </c>
      <c r="HO32" s="84" t="s">
        <v>149</v>
      </c>
      <c r="HP32" s="84" t="str">
        <f t="shared" si="50"/>
        <v>Yes</v>
      </c>
      <c r="HQ32" s="84" t="s">
        <v>149</v>
      </c>
      <c r="HR32" s="84" t="str">
        <f t="shared" si="51"/>
        <v>Yes</v>
      </c>
      <c r="HS32" s="84" t="s">
        <v>149</v>
      </c>
      <c r="HT32" s="84" t="str">
        <f t="shared" si="45"/>
        <v>Yes</v>
      </c>
      <c r="HU32" s="84" t="s">
        <v>149</v>
      </c>
      <c r="HV32" s="84" t="s">
        <v>149</v>
      </c>
      <c r="HW32" s="100" t="s">
        <v>832</v>
      </c>
      <c r="HX32" s="84" t="s">
        <v>149</v>
      </c>
      <c r="HY32" s="84" t="s">
        <v>150</v>
      </c>
      <c r="HZ32" s="84" t="str">
        <f t="shared" si="20"/>
        <v>Partial yes</v>
      </c>
      <c r="IA32" s="84" t="s">
        <v>150</v>
      </c>
      <c r="IB32" s="84" t="str">
        <f t="shared" si="41"/>
        <v>No</v>
      </c>
      <c r="IC32" s="84" t="s">
        <v>149</v>
      </c>
      <c r="ID32" s="84" t="str">
        <f t="shared" si="43"/>
        <v>Yes</v>
      </c>
      <c r="IE32" s="84" t="s">
        <v>832</v>
      </c>
      <c r="IF32" s="84" t="s">
        <v>832</v>
      </c>
      <c r="IG32" s="84" t="s">
        <v>832</v>
      </c>
      <c r="IH32" s="84" t="s">
        <v>832</v>
      </c>
      <c r="II32" s="84" t="s">
        <v>832</v>
      </c>
      <c r="IJ32" s="84" t="s">
        <v>149</v>
      </c>
      <c r="IK32" s="84" t="s">
        <v>149</v>
      </c>
      <c r="IL32" s="84" t="s">
        <v>149</v>
      </c>
      <c r="IM32" s="84" t="s">
        <v>150</v>
      </c>
      <c r="IN32" s="84" t="s">
        <v>149</v>
      </c>
      <c r="IP32" s="84" t="s">
        <v>150</v>
      </c>
      <c r="IR32" s="84" t="str">
        <f t="shared" si="46"/>
        <v>Partial yes</v>
      </c>
      <c r="IS32" s="84" t="s">
        <v>149</v>
      </c>
      <c r="IT32" s="84" t="s">
        <v>149</v>
      </c>
      <c r="IU32" s="84" t="s">
        <v>150</v>
      </c>
      <c r="IV32" s="84" t="str">
        <f t="shared" si="24"/>
        <v>Partial yes</v>
      </c>
      <c r="IW32" s="84" t="s">
        <v>149</v>
      </c>
      <c r="IX32" s="84" t="s">
        <v>149</v>
      </c>
      <c r="IY32" s="84" t="str">
        <f t="shared" si="25"/>
        <v>Yes</v>
      </c>
      <c r="IZ32" s="84" t="s">
        <v>149</v>
      </c>
      <c r="JA32" s="84" t="s">
        <v>149</v>
      </c>
      <c r="JB32" s="84" t="str">
        <f t="shared" si="26"/>
        <v>Yes</v>
      </c>
      <c r="JC32" s="84" t="s">
        <v>149</v>
      </c>
      <c r="JD32" s="84" t="s">
        <v>832</v>
      </c>
      <c r="JE32" s="84" t="str">
        <f t="shared" si="27"/>
        <v>Yes</v>
      </c>
      <c r="JF32" s="84" t="s">
        <v>149</v>
      </c>
      <c r="JG32" s="84" t="str">
        <f t="shared" si="54"/>
        <v>Yes</v>
      </c>
      <c r="JH32" s="51" t="s">
        <v>150</v>
      </c>
    </row>
    <row r="33" spans="1:268" s="84" customFormat="1" ht="16" x14ac:dyDescent="0.25">
      <c r="A33" s="83">
        <v>38</v>
      </c>
      <c r="B33" s="84" t="s">
        <v>436</v>
      </c>
      <c r="C33" s="84" t="s">
        <v>437</v>
      </c>
      <c r="D33" s="84" t="s">
        <v>438</v>
      </c>
      <c r="E33" s="85">
        <v>45076</v>
      </c>
      <c r="F33" s="84" t="s">
        <v>439</v>
      </c>
      <c r="G33" s="84" t="s">
        <v>150</v>
      </c>
      <c r="H33" s="84" t="s">
        <v>150</v>
      </c>
      <c r="I33" s="84" t="s">
        <v>218</v>
      </c>
      <c r="J33" s="84" t="s">
        <v>172</v>
      </c>
      <c r="K33" s="86" t="s">
        <v>562</v>
      </c>
      <c r="L33" s="84" t="s">
        <v>173</v>
      </c>
      <c r="M33" s="86" t="s">
        <v>563</v>
      </c>
      <c r="N33" s="84" t="s">
        <v>348</v>
      </c>
      <c r="O33" s="86" t="s">
        <v>603</v>
      </c>
      <c r="P33" s="84" t="s">
        <v>185</v>
      </c>
      <c r="Q33" s="84" t="s">
        <v>564</v>
      </c>
      <c r="R33" s="88">
        <v>6</v>
      </c>
      <c r="S33" s="84" t="s">
        <v>604</v>
      </c>
      <c r="T33" s="88" t="s">
        <v>149</v>
      </c>
      <c r="U33" s="84" t="s">
        <v>149</v>
      </c>
      <c r="V33" s="84" t="s">
        <v>150</v>
      </c>
      <c r="W33" s="84" t="s">
        <v>149</v>
      </c>
      <c r="X33" s="84" t="s">
        <v>150</v>
      </c>
      <c r="Y33" s="84" t="s">
        <v>150</v>
      </c>
      <c r="Z33" s="84" t="s">
        <v>150</v>
      </c>
      <c r="AA33" s="89"/>
      <c r="AB33" s="84" t="s">
        <v>149</v>
      </c>
      <c r="AC33" s="84" t="s">
        <v>149</v>
      </c>
      <c r="AD33" s="84" t="s">
        <v>150</v>
      </c>
      <c r="AE33" s="84" t="s">
        <v>150</v>
      </c>
      <c r="AF33" s="89"/>
      <c r="AH33" s="90" t="s">
        <v>160</v>
      </c>
      <c r="AI33" s="146" t="s">
        <v>150</v>
      </c>
      <c r="AJ33" s="87" t="s">
        <v>150</v>
      </c>
      <c r="AL33" s="92"/>
      <c r="AM33" s="84" t="s">
        <v>149</v>
      </c>
      <c r="AN33" s="85">
        <v>44978</v>
      </c>
      <c r="AO33" s="84" t="s">
        <v>149</v>
      </c>
      <c r="AP33" s="84" t="s">
        <v>565</v>
      </c>
      <c r="AQ33" s="86"/>
      <c r="AR33" s="91"/>
      <c r="AS33" s="84" t="s">
        <v>149</v>
      </c>
      <c r="AT33" s="84" t="s">
        <v>149</v>
      </c>
      <c r="AU33" s="84" t="s">
        <v>149</v>
      </c>
      <c r="AV33" s="84" t="s">
        <v>150</v>
      </c>
      <c r="AW33" s="84" t="s">
        <v>150</v>
      </c>
      <c r="AX33" s="84" t="s">
        <v>150</v>
      </c>
      <c r="AY33" s="92" t="s">
        <v>149</v>
      </c>
      <c r="AZ33" s="84" t="s">
        <v>149</v>
      </c>
      <c r="BA33" s="84" t="s">
        <v>150</v>
      </c>
      <c r="BB33" s="84" t="s">
        <v>150</v>
      </c>
      <c r="BC33" s="84" t="s">
        <v>150</v>
      </c>
      <c r="BD33" s="84" t="s">
        <v>150</v>
      </c>
      <c r="BE33" s="84" t="s">
        <v>149</v>
      </c>
      <c r="BF33" s="84" t="s">
        <v>150</v>
      </c>
      <c r="BG33" s="87" t="s">
        <v>149</v>
      </c>
      <c r="BH33" s="84" t="s">
        <v>149</v>
      </c>
      <c r="BI33" s="84" t="s">
        <v>149</v>
      </c>
      <c r="BJ33" s="86" t="s">
        <v>149</v>
      </c>
      <c r="BK33" s="84" t="s">
        <v>149</v>
      </c>
      <c r="BL33" s="84" t="s">
        <v>149</v>
      </c>
      <c r="BM33" s="87" t="s">
        <v>149</v>
      </c>
      <c r="BN33" s="84" t="s">
        <v>149</v>
      </c>
      <c r="BO33" s="84" t="s">
        <v>149</v>
      </c>
      <c r="BP33" s="84" t="s">
        <v>149</v>
      </c>
      <c r="BR33" s="84" t="s">
        <v>191</v>
      </c>
      <c r="BT33" s="87" t="s">
        <v>163</v>
      </c>
      <c r="BU33" s="84" t="s">
        <v>573</v>
      </c>
      <c r="BW33" s="92"/>
      <c r="BX33" s="86" t="s">
        <v>165</v>
      </c>
      <c r="BY33" s="84" t="s">
        <v>149</v>
      </c>
      <c r="BZ33" s="93" t="s">
        <v>605</v>
      </c>
      <c r="CA33" s="94">
        <f>14513+2</f>
        <v>14515</v>
      </c>
      <c r="CB33" s="92">
        <v>3</v>
      </c>
      <c r="CC33" s="84">
        <v>3</v>
      </c>
      <c r="CD33" s="95">
        <v>0</v>
      </c>
      <c r="CE33" s="85">
        <v>44967</v>
      </c>
      <c r="CF33" s="84" t="s">
        <v>150</v>
      </c>
      <c r="CH33" s="86"/>
      <c r="CI33" s="84" t="s">
        <v>150</v>
      </c>
      <c r="CJ33" s="92"/>
      <c r="CK33" s="84" t="s">
        <v>149</v>
      </c>
      <c r="CL33" s="92" t="s">
        <v>192</v>
      </c>
      <c r="CM33" s="92" t="s">
        <v>150</v>
      </c>
      <c r="CN33" s="96" t="s">
        <v>149</v>
      </c>
      <c r="CO33" s="84" t="s">
        <v>149</v>
      </c>
      <c r="CP33" s="84" t="s">
        <v>150</v>
      </c>
      <c r="CS33" s="84" t="s">
        <v>150</v>
      </c>
      <c r="CU33" s="97"/>
      <c r="CV33" s="87" t="s">
        <v>150</v>
      </c>
      <c r="CW33" s="97" t="s">
        <v>150</v>
      </c>
      <c r="CX33" s="97"/>
      <c r="DC33" s="97"/>
      <c r="DD33" s="87" t="s">
        <v>150</v>
      </c>
      <c r="DE33" s="97" t="s">
        <v>150</v>
      </c>
      <c r="DF33" s="97"/>
      <c r="DJ33" s="96"/>
      <c r="DK33" s="86"/>
      <c r="DL33" s="84" t="s">
        <v>150</v>
      </c>
      <c r="DM33" s="97" t="s">
        <v>150</v>
      </c>
      <c r="DN33" s="97"/>
      <c r="DS33" s="97"/>
      <c r="DT33" s="90" t="s">
        <v>150</v>
      </c>
      <c r="DU33" s="84" t="s">
        <v>150</v>
      </c>
      <c r="DW33" s="84" t="s">
        <v>149</v>
      </c>
      <c r="DY33" s="87" t="s">
        <v>150</v>
      </c>
      <c r="DZ33" s="84" t="s">
        <v>150</v>
      </c>
      <c r="EB33" s="86"/>
      <c r="EC33" s="87" t="s">
        <v>149</v>
      </c>
      <c r="ED33" s="97" t="s">
        <v>150</v>
      </c>
      <c r="EF33" s="84" t="s">
        <v>196</v>
      </c>
      <c r="EG33" s="84" t="s">
        <v>150</v>
      </c>
      <c r="EI33" s="96" t="s">
        <v>150</v>
      </c>
      <c r="EJ33" s="97"/>
      <c r="EN33" s="96"/>
      <c r="EO33" s="96"/>
      <c r="EP33" s="95"/>
      <c r="EQ33" s="126" t="s">
        <v>149</v>
      </c>
      <c r="ER33" s="135" t="s">
        <v>166</v>
      </c>
      <c r="ES33" s="84" t="s">
        <v>175</v>
      </c>
      <c r="ET33" s="84" t="s">
        <v>166</v>
      </c>
      <c r="EU33" s="86" t="s">
        <v>171</v>
      </c>
      <c r="EV33" s="95" t="s">
        <v>171</v>
      </c>
      <c r="EW33" s="146" t="str">
        <f t="shared" si="0"/>
        <v>High</v>
      </c>
      <c r="EX33" s="141"/>
      <c r="EY33" s="84" t="s">
        <v>149</v>
      </c>
      <c r="EZ33" s="84" t="s">
        <v>149</v>
      </c>
      <c r="FA33" s="84" t="s">
        <v>150</v>
      </c>
      <c r="FB33" s="86" t="str">
        <f t="shared" si="1"/>
        <v>Partial yes</v>
      </c>
      <c r="FC33" s="84" t="s">
        <v>149</v>
      </c>
      <c r="FD33" s="84" t="s">
        <v>149</v>
      </c>
      <c r="FE33" s="84" t="s">
        <v>149</v>
      </c>
      <c r="FF33" s="84" t="s">
        <v>149</v>
      </c>
      <c r="FG33" s="84" t="s">
        <v>149</v>
      </c>
      <c r="FH33" s="84" t="s">
        <v>149</v>
      </c>
      <c r="FI33" s="84" t="s">
        <v>149</v>
      </c>
      <c r="FJ33" s="84" t="s">
        <v>149</v>
      </c>
      <c r="FK33" s="84" t="s">
        <v>149</v>
      </c>
      <c r="FL33" s="84" t="s">
        <v>149</v>
      </c>
      <c r="FM33" s="84" t="s">
        <v>150</v>
      </c>
      <c r="FN33" s="84" t="s">
        <v>150</v>
      </c>
      <c r="FO33" s="84" t="str">
        <f t="shared" si="2"/>
        <v>Partial yes</v>
      </c>
      <c r="FP33" s="84" t="s">
        <v>149</v>
      </c>
      <c r="FQ33" s="84" t="s">
        <v>150</v>
      </c>
      <c r="FR33" s="84" t="s">
        <v>832</v>
      </c>
      <c r="FS33" s="84" t="str">
        <f t="shared" si="52"/>
        <v>Partial yes</v>
      </c>
      <c r="FT33" s="84" t="s">
        <v>149</v>
      </c>
      <c r="FU33" s="84" t="s">
        <v>832</v>
      </c>
      <c r="FV33" s="84" t="str">
        <f t="shared" si="53"/>
        <v>Yes</v>
      </c>
      <c r="FW33" s="84" t="str">
        <f t="shared" si="5"/>
        <v>Yes</v>
      </c>
      <c r="FX33" s="84" t="str">
        <f t="shared" si="29"/>
        <v>Yes</v>
      </c>
      <c r="FY33" s="84" t="str">
        <f t="shared" si="34"/>
        <v>No</v>
      </c>
      <c r="FZ33" s="84" t="str">
        <f t="shared" si="7"/>
        <v>Partial yes</v>
      </c>
      <c r="GA33" s="84" t="s">
        <v>149</v>
      </c>
      <c r="GB33" s="84" t="str">
        <f t="shared" si="44"/>
        <v>Yes</v>
      </c>
      <c r="GC33" s="84" t="s">
        <v>150</v>
      </c>
      <c r="GD33" s="84" t="str">
        <f t="shared" si="33"/>
        <v>No</v>
      </c>
      <c r="GE33" s="84" t="s">
        <v>149</v>
      </c>
      <c r="GF33" s="84" t="str">
        <f t="shared" si="31"/>
        <v>Yes</v>
      </c>
      <c r="GG33" s="84" t="s">
        <v>149</v>
      </c>
      <c r="GH33" s="84" t="str">
        <f t="shared" si="37"/>
        <v>Yes</v>
      </c>
      <c r="GI33" s="84" t="s">
        <v>149</v>
      </c>
      <c r="GJ33" s="84" t="s">
        <v>832</v>
      </c>
      <c r="GK33" s="84" t="str">
        <f t="shared" si="10"/>
        <v>Yes</v>
      </c>
      <c r="GL33" s="84" t="s">
        <v>149</v>
      </c>
      <c r="GM33" s="84" t="s">
        <v>149</v>
      </c>
      <c r="GN33" s="84" t="str">
        <f t="shared" si="36"/>
        <v>Yes</v>
      </c>
      <c r="GO33" s="84" t="s">
        <v>149</v>
      </c>
      <c r="GP33" s="84" t="s">
        <v>832</v>
      </c>
      <c r="GQ33" s="84" t="str">
        <f t="shared" si="47"/>
        <v>Yes</v>
      </c>
      <c r="GR33" s="84" t="s">
        <v>149</v>
      </c>
      <c r="GS33" s="84" t="str">
        <f t="shared" si="38"/>
        <v>Yes</v>
      </c>
      <c r="GT33" s="84" t="s">
        <v>149</v>
      </c>
      <c r="GU33" s="84" t="s">
        <v>149</v>
      </c>
      <c r="GV33" s="84" t="s">
        <v>149</v>
      </c>
      <c r="GW33" s="84" t="s">
        <v>149</v>
      </c>
      <c r="GX33" s="84" t="s">
        <v>150</v>
      </c>
      <c r="GY33" s="84" t="s">
        <v>149</v>
      </c>
      <c r="GZ33" s="84" t="s">
        <v>150</v>
      </c>
      <c r="HA33" s="84" t="str">
        <f t="shared" si="14"/>
        <v>Partial yes</v>
      </c>
      <c r="HB33" s="84" t="s">
        <v>150</v>
      </c>
      <c r="HC33" s="84" t="str">
        <f t="shared" si="42"/>
        <v>No</v>
      </c>
      <c r="HD33" s="84" t="s">
        <v>149</v>
      </c>
      <c r="HE33" s="84" t="str">
        <f t="shared" si="48"/>
        <v>Yes</v>
      </c>
      <c r="HF33" s="84" t="s">
        <v>832</v>
      </c>
      <c r="HG33" s="84" t="s">
        <v>832</v>
      </c>
      <c r="HH33" s="84" t="s">
        <v>832</v>
      </c>
      <c r="HI33" s="84" t="s">
        <v>832</v>
      </c>
      <c r="HJ33" s="84" t="s">
        <v>149</v>
      </c>
      <c r="HK33" s="84" t="s">
        <v>832</v>
      </c>
      <c r="HL33" s="84" t="s">
        <v>832</v>
      </c>
      <c r="HM33" s="84" t="s">
        <v>149</v>
      </c>
      <c r="HN33" s="84" t="str">
        <f t="shared" si="49"/>
        <v>Yes</v>
      </c>
      <c r="HO33" s="84" t="s">
        <v>149</v>
      </c>
      <c r="HP33" s="84" t="str">
        <f t="shared" si="50"/>
        <v>Yes</v>
      </c>
      <c r="HQ33" s="84" t="s">
        <v>149</v>
      </c>
      <c r="HR33" s="84" t="str">
        <f t="shared" si="51"/>
        <v>Yes</v>
      </c>
      <c r="HS33" s="84" t="s">
        <v>149</v>
      </c>
      <c r="HT33" s="84" t="str">
        <f t="shared" si="45"/>
        <v>Yes</v>
      </c>
      <c r="HU33" s="84" t="s">
        <v>149</v>
      </c>
      <c r="HV33" s="84" t="s">
        <v>149</v>
      </c>
      <c r="HW33" s="100" t="s">
        <v>832</v>
      </c>
      <c r="HX33" s="84" t="s">
        <v>149</v>
      </c>
      <c r="HY33" s="84" t="s">
        <v>150</v>
      </c>
      <c r="HZ33" s="84" t="str">
        <f t="shared" si="20"/>
        <v>Partial yes</v>
      </c>
      <c r="IA33" s="84" t="s">
        <v>150</v>
      </c>
      <c r="IB33" s="84" t="str">
        <f t="shared" si="41"/>
        <v>No</v>
      </c>
      <c r="IC33" s="84" t="s">
        <v>149</v>
      </c>
      <c r="ID33" s="84" t="str">
        <f t="shared" si="43"/>
        <v>Yes</v>
      </c>
      <c r="IE33" s="84" t="s">
        <v>832</v>
      </c>
      <c r="IF33" s="84" t="s">
        <v>832</v>
      </c>
      <c r="IG33" s="84" t="s">
        <v>832</v>
      </c>
      <c r="IH33" s="84" t="s">
        <v>832</v>
      </c>
      <c r="II33" s="84" t="s">
        <v>832</v>
      </c>
      <c r="IJ33" s="84" t="s">
        <v>149</v>
      </c>
      <c r="IK33" s="84" t="s">
        <v>149</v>
      </c>
      <c r="IL33" s="84" t="s">
        <v>149</v>
      </c>
      <c r="IM33" s="84" t="s">
        <v>150</v>
      </c>
      <c r="IN33" s="84" t="s">
        <v>149</v>
      </c>
      <c r="IP33" s="84" t="s">
        <v>150</v>
      </c>
      <c r="IR33" s="84" t="str">
        <f t="shared" si="46"/>
        <v>Partial yes</v>
      </c>
      <c r="IS33" s="84" t="s">
        <v>149</v>
      </c>
      <c r="IT33" s="84" t="s">
        <v>149</v>
      </c>
      <c r="IU33" s="84" t="s">
        <v>150</v>
      </c>
      <c r="IV33" s="84" t="str">
        <f t="shared" si="24"/>
        <v>Partial yes</v>
      </c>
      <c r="IW33" s="84" t="s">
        <v>149</v>
      </c>
      <c r="IX33" s="84" t="s">
        <v>149</v>
      </c>
      <c r="IY33" s="84" t="str">
        <f t="shared" si="25"/>
        <v>Yes</v>
      </c>
      <c r="IZ33" s="84" t="s">
        <v>149</v>
      </c>
      <c r="JA33" s="84" t="s">
        <v>149</v>
      </c>
      <c r="JB33" s="84" t="str">
        <f t="shared" si="26"/>
        <v>Yes</v>
      </c>
      <c r="JC33" s="84" t="s">
        <v>150</v>
      </c>
      <c r="JD33" s="84" t="s">
        <v>832</v>
      </c>
      <c r="JE33" s="84" t="str">
        <f t="shared" si="27"/>
        <v>No</v>
      </c>
      <c r="JF33" s="84" t="s">
        <v>149</v>
      </c>
      <c r="JG33" s="84" t="str">
        <f t="shared" si="54"/>
        <v>Yes</v>
      </c>
      <c r="JH33" s="51" t="s">
        <v>150</v>
      </c>
    </row>
    <row r="34" spans="1:268" s="84" customFormat="1" ht="16" x14ac:dyDescent="0.25">
      <c r="A34" s="83">
        <v>39</v>
      </c>
      <c r="B34" s="84" t="s">
        <v>440</v>
      </c>
      <c r="C34" s="84" t="s">
        <v>441</v>
      </c>
      <c r="D34" s="84" t="s">
        <v>442</v>
      </c>
      <c r="E34" s="85">
        <v>45162</v>
      </c>
      <c r="F34" s="84" t="s">
        <v>443</v>
      </c>
      <c r="G34" s="84" t="s">
        <v>150</v>
      </c>
      <c r="H34" s="84" t="s">
        <v>150</v>
      </c>
      <c r="I34" s="84" t="s">
        <v>218</v>
      </c>
      <c r="J34" s="84" t="s">
        <v>493</v>
      </c>
      <c r="K34" s="86" t="s">
        <v>566</v>
      </c>
      <c r="L34" s="84" t="s">
        <v>173</v>
      </c>
      <c r="M34" s="86" t="s">
        <v>567</v>
      </c>
      <c r="N34" s="84" t="s">
        <v>268</v>
      </c>
      <c r="O34" s="86" t="s">
        <v>606</v>
      </c>
      <c r="P34" s="84" t="s">
        <v>185</v>
      </c>
      <c r="Q34" s="84" t="s">
        <v>607</v>
      </c>
      <c r="R34" s="88">
        <v>16</v>
      </c>
      <c r="S34" s="84" t="s">
        <v>608</v>
      </c>
      <c r="T34" s="88" t="s">
        <v>149</v>
      </c>
      <c r="U34" s="84" t="s">
        <v>149</v>
      </c>
      <c r="V34" s="84" t="s">
        <v>149</v>
      </c>
      <c r="W34" s="84" t="s">
        <v>149</v>
      </c>
      <c r="X34" s="84" t="s">
        <v>150</v>
      </c>
      <c r="Y34" s="84" t="s">
        <v>149</v>
      </c>
      <c r="Z34" s="84" t="s">
        <v>149</v>
      </c>
      <c r="AA34" s="89" t="s">
        <v>609</v>
      </c>
      <c r="AB34" s="84" t="s">
        <v>149</v>
      </c>
      <c r="AC34" s="84" t="s">
        <v>149</v>
      </c>
      <c r="AD34" s="84" t="s">
        <v>149</v>
      </c>
      <c r="AE34" s="84" t="s">
        <v>150</v>
      </c>
      <c r="AF34" s="89"/>
      <c r="AH34" s="90" t="s">
        <v>160</v>
      </c>
      <c r="AI34" s="146" t="s">
        <v>149</v>
      </c>
      <c r="AJ34" s="87" t="s">
        <v>150</v>
      </c>
      <c r="AL34" s="92"/>
      <c r="AM34" s="84" t="s">
        <v>150</v>
      </c>
      <c r="AQ34" s="86"/>
      <c r="AR34" s="91"/>
      <c r="AS34" s="84" t="s">
        <v>149</v>
      </c>
      <c r="AT34" s="84" t="s">
        <v>149</v>
      </c>
      <c r="AU34" s="84" t="s">
        <v>149</v>
      </c>
      <c r="AV34" s="84" t="s">
        <v>149</v>
      </c>
      <c r="AW34" s="84" t="s">
        <v>149</v>
      </c>
      <c r="AX34" s="84" t="s">
        <v>149</v>
      </c>
      <c r="AY34" s="92" t="s">
        <v>149</v>
      </c>
      <c r="AZ34" s="84" t="s">
        <v>149</v>
      </c>
      <c r="BA34" s="84" t="s">
        <v>150</v>
      </c>
      <c r="BB34" s="84" t="s">
        <v>150</v>
      </c>
      <c r="BC34" s="84" t="s">
        <v>150</v>
      </c>
      <c r="BD34" s="84" t="s">
        <v>150</v>
      </c>
      <c r="BE34" s="84" t="s">
        <v>149</v>
      </c>
      <c r="BF34" s="84" t="s">
        <v>149</v>
      </c>
      <c r="BG34" s="87" t="s">
        <v>149</v>
      </c>
      <c r="BH34" s="84" t="s">
        <v>149</v>
      </c>
      <c r="BI34" s="84" t="s">
        <v>149</v>
      </c>
      <c r="BJ34" s="86" t="s">
        <v>149</v>
      </c>
      <c r="BK34" s="84" t="s">
        <v>149</v>
      </c>
      <c r="BL34" s="84" t="s">
        <v>150</v>
      </c>
      <c r="BM34" s="87" t="s">
        <v>149</v>
      </c>
      <c r="BN34" s="84" t="s">
        <v>149</v>
      </c>
      <c r="BO34" s="84" t="s">
        <v>149</v>
      </c>
      <c r="BP34" s="84" t="s">
        <v>149</v>
      </c>
      <c r="BR34" s="84" t="s">
        <v>191</v>
      </c>
      <c r="BT34" s="87" t="s">
        <v>163</v>
      </c>
      <c r="BU34" s="84" t="s">
        <v>164</v>
      </c>
      <c r="BW34" s="92"/>
      <c r="BX34" s="86" t="s">
        <v>165</v>
      </c>
      <c r="BY34" s="84" t="s">
        <v>149</v>
      </c>
      <c r="BZ34" s="93" t="s">
        <v>605</v>
      </c>
      <c r="CA34" s="94">
        <f>605+11</f>
        <v>616</v>
      </c>
      <c r="CB34" s="92">
        <v>22</v>
      </c>
      <c r="CC34" s="84">
        <v>22</v>
      </c>
      <c r="CD34" s="95">
        <v>0</v>
      </c>
      <c r="CE34" s="85">
        <v>44865</v>
      </c>
      <c r="CF34" s="84" t="s">
        <v>150</v>
      </c>
      <c r="CH34" s="86"/>
      <c r="CI34" s="84" t="s">
        <v>150</v>
      </c>
      <c r="CJ34" s="92"/>
      <c r="CK34" s="84" t="s">
        <v>149</v>
      </c>
      <c r="CL34" s="92" t="s">
        <v>167</v>
      </c>
      <c r="CM34" s="92" t="s">
        <v>150</v>
      </c>
      <c r="CN34" s="96" t="s">
        <v>150</v>
      </c>
      <c r="CU34" s="97"/>
      <c r="CV34" s="87" t="s">
        <v>150</v>
      </c>
      <c r="CW34" s="97" t="s">
        <v>150</v>
      </c>
      <c r="CX34" s="97"/>
      <c r="DC34" s="97"/>
      <c r="DD34" s="87" t="s">
        <v>150</v>
      </c>
      <c r="DE34" s="97" t="s">
        <v>150</v>
      </c>
      <c r="DF34" s="97"/>
      <c r="DJ34" s="96"/>
      <c r="DK34" s="86"/>
      <c r="DL34" s="84" t="s">
        <v>150</v>
      </c>
      <c r="DM34" s="97" t="s">
        <v>150</v>
      </c>
      <c r="DN34" s="97"/>
      <c r="DS34" s="97"/>
      <c r="DT34" s="90" t="s">
        <v>150</v>
      </c>
      <c r="DU34" s="84" t="s">
        <v>150</v>
      </c>
      <c r="DW34" s="84" t="s">
        <v>150</v>
      </c>
      <c r="DY34" s="87" t="s">
        <v>150</v>
      </c>
      <c r="DZ34" s="84" t="s">
        <v>150</v>
      </c>
      <c r="EB34" s="86"/>
      <c r="EC34" s="87" t="s">
        <v>149</v>
      </c>
      <c r="ED34" s="97" t="s">
        <v>150</v>
      </c>
      <c r="EF34" s="84" t="s">
        <v>222</v>
      </c>
      <c r="EG34" s="84" t="s">
        <v>150</v>
      </c>
      <c r="EH34" s="84" t="s">
        <v>610</v>
      </c>
      <c r="EI34" s="96" t="s">
        <v>150</v>
      </c>
      <c r="EJ34" s="97"/>
      <c r="EN34" s="96"/>
      <c r="EO34" s="96"/>
      <c r="EP34" s="95"/>
      <c r="EQ34" s="126" t="s">
        <v>150</v>
      </c>
      <c r="ER34" s="135" t="s">
        <v>171</v>
      </c>
      <c r="ES34" s="84" t="s">
        <v>171</v>
      </c>
      <c r="ET34" s="84" t="s">
        <v>166</v>
      </c>
      <c r="EU34" s="86" t="s">
        <v>171</v>
      </c>
      <c r="EV34" s="95" t="s">
        <v>171</v>
      </c>
      <c r="EW34" s="146" t="str">
        <f t="shared" si="0"/>
        <v>High</v>
      </c>
      <c r="EX34" s="141"/>
      <c r="EY34" s="84" t="s">
        <v>149</v>
      </c>
      <c r="EZ34" s="84" t="s">
        <v>149</v>
      </c>
      <c r="FA34" s="84" t="s">
        <v>150</v>
      </c>
      <c r="FB34" s="86" t="str">
        <f t="shared" si="1"/>
        <v>Partial yes</v>
      </c>
      <c r="FC34" s="84" t="s">
        <v>149</v>
      </c>
      <c r="FD34" s="84" t="s">
        <v>149</v>
      </c>
      <c r="FE34" s="84" t="s">
        <v>149</v>
      </c>
      <c r="FF34" s="84" t="s">
        <v>150</v>
      </c>
      <c r="FG34" s="84" t="s">
        <v>150</v>
      </c>
      <c r="FH34" s="84" t="s">
        <v>150</v>
      </c>
      <c r="FI34" s="84" t="s">
        <v>149</v>
      </c>
      <c r="FJ34" s="84" t="s">
        <v>150</v>
      </c>
      <c r="FK34" s="84" t="s">
        <v>150</v>
      </c>
      <c r="FL34" s="84" t="s">
        <v>149</v>
      </c>
      <c r="FM34" s="84" t="s">
        <v>150</v>
      </c>
      <c r="FN34" s="84" t="s">
        <v>150</v>
      </c>
      <c r="FO34" s="84" t="str">
        <f t="shared" si="2"/>
        <v>Partial yes</v>
      </c>
      <c r="FP34" s="84" t="s">
        <v>149</v>
      </c>
      <c r="FQ34" s="84" t="s">
        <v>149</v>
      </c>
      <c r="FR34" s="84" t="s">
        <v>832</v>
      </c>
      <c r="FS34" s="84" t="str">
        <f t="shared" si="52"/>
        <v>Yes</v>
      </c>
      <c r="FT34" s="84" t="s">
        <v>149</v>
      </c>
      <c r="FU34" s="84" t="s">
        <v>832</v>
      </c>
      <c r="FV34" s="84" t="str">
        <f t="shared" si="53"/>
        <v>Yes</v>
      </c>
      <c r="FW34" s="84" t="str">
        <f t="shared" si="5"/>
        <v>Yes</v>
      </c>
      <c r="FX34" s="84" t="str">
        <f t="shared" si="29"/>
        <v>No</v>
      </c>
      <c r="FY34" s="84" t="str">
        <f t="shared" si="34"/>
        <v>No</v>
      </c>
      <c r="FZ34" s="84" t="str">
        <f t="shared" si="7"/>
        <v>Partial yes</v>
      </c>
      <c r="GA34" s="84" t="s">
        <v>149</v>
      </c>
      <c r="GB34" s="84" t="str">
        <f t="shared" si="44"/>
        <v>Yes</v>
      </c>
      <c r="GC34" s="84" t="s">
        <v>149</v>
      </c>
      <c r="GD34" s="84" t="str">
        <f t="shared" si="33"/>
        <v>Yes</v>
      </c>
      <c r="GE34" s="84" t="s">
        <v>149</v>
      </c>
      <c r="GF34" s="84" t="str">
        <f t="shared" si="31"/>
        <v>Yes</v>
      </c>
      <c r="GG34" s="84" t="s">
        <v>149</v>
      </c>
      <c r="GH34" s="84" t="str">
        <f t="shared" si="37"/>
        <v>Yes</v>
      </c>
      <c r="GI34" s="84" t="s">
        <v>149</v>
      </c>
      <c r="GJ34" s="84" t="s">
        <v>832</v>
      </c>
      <c r="GK34" s="84" t="str">
        <f t="shared" si="10"/>
        <v>Yes</v>
      </c>
      <c r="GL34" s="84" t="s">
        <v>149</v>
      </c>
      <c r="GM34" s="84" t="s">
        <v>149</v>
      </c>
      <c r="GN34" s="84" t="str">
        <f t="shared" si="36"/>
        <v>Yes</v>
      </c>
      <c r="GO34" s="84" t="s">
        <v>149</v>
      </c>
      <c r="GP34" s="84" t="s">
        <v>832</v>
      </c>
      <c r="GQ34" s="84" t="str">
        <f t="shared" si="47"/>
        <v>Yes</v>
      </c>
      <c r="GR34" s="84" t="s">
        <v>149</v>
      </c>
      <c r="GS34" s="84" t="str">
        <f t="shared" si="38"/>
        <v>Yes</v>
      </c>
      <c r="GT34" s="84" t="s">
        <v>149</v>
      </c>
      <c r="GU34" s="84" t="s">
        <v>149</v>
      </c>
      <c r="GV34" s="84" t="s">
        <v>149</v>
      </c>
      <c r="GW34" s="84" t="s">
        <v>149</v>
      </c>
      <c r="GX34" s="84" t="s">
        <v>150</v>
      </c>
      <c r="GY34" s="84" t="s">
        <v>149</v>
      </c>
      <c r="GZ34" s="84" t="s">
        <v>150</v>
      </c>
      <c r="HA34" s="84" t="str">
        <f t="shared" si="14"/>
        <v>Partial yes</v>
      </c>
      <c r="HB34" s="84" t="s">
        <v>149</v>
      </c>
      <c r="HC34" s="84" t="str">
        <f t="shared" si="42"/>
        <v>Yes</v>
      </c>
      <c r="HD34" s="84" t="s">
        <v>149</v>
      </c>
      <c r="HE34" s="84" t="str">
        <f t="shared" si="48"/>
        <v>Yes</v>
      </c>
      <c r="HF34" s="84" t="s">
        <v>832</v>
      </c>
      <c r="HG34" s="84" t="s">
        <v>832</v>
      </c>
      <c r="HH34" s="84" t="s">
        <v>832</v>
      </c>
      <c r="HI34" s="84" t="s">
        <v>832</v>
      </c>
      <c r="HJ34" s="84" t="s">
        <v>149</v>
      </c>
      <c r="HK34" s="84" t="s">
        <v>832</v>
      </c>
      <c r="HL34" s="84" t="s">
        <v>832</v>
      </c>
      <c r="HM34" s="84" t="s">
        <v>149</v>
      </c>
      <c r="HN34" s="84" t="str">
        <f t="shared" si="49"/>
        <v>Yes</v>
      </c>
      <c r="HO34" s="84" t="s">
        <v>149</v>
      </c>
      <c r="HP34" s="84" t="str">
        <f t="shared" si="50"/>
        <v>Yes</v>
      </c>
      <c r="HQ34" s="84" t="s">
        <v>149</v>
      </c>
      <c r="HR34" s="84" t="str">
        <f t="shared" si="51"/>
        <v>Yes</v>
      </c>
      <c r="HS34" s="84" t="s">
        <v>149</v>
      </c>
      <c r="HT34" s="84" t="str">
        <f t="shared" si="45"/>
        <v>Yes</v>
      </c>
      <c r="HU34" s="84" t="s">
        <v>149</v>
      </c>
      <c r="HV34" s="84" t="s">
        <v>149</v>
      </c>
      <c r="HW34" s="100" t="s">
        <v>832</v>
      </c>
      <c r="HX34" s="84" t="s">
        <v>149</v>
      </c>
      <c r="HY34" s="84" t="s">
        <v>150</v>
      </c>
      <c r="HZ34" s="84" t="str">
        <f t="shared" si="20"/>
        <v>Partial yes</v>
      </c>
      <c r="IA34" s="84" t="s">
        <v>150</v>
      </c>
      <c r="IB34" s="84" t="str">
        <f t="shared" si="41"/>
        <v>No</v>
      </c>
      <c r="IC34" s="84" t="s">
        <v>149</v>
      </c>
      <c r="ID34" s="84" t="str">
        <f t="shared" si="43"/>
        <v>Yes</v>
      </c>
      <c r="IE34" s="84" t="s">
        <v>832</v>
      </c>
      <c r="IF34" s="84" t="s">
        <v>832</v>
      </c>
      <c r="IG34" s="84" t="s">
        <v>832</v>
      </c>
      <c r="IH34" s="84" t="s">
        <v>832</v>
      </c>
      <c r="II34" s="84" t="s">
        <v>832</v>
      </c>
      <c r="IJ34" s="84" t="s">
        <v>149</v>
      </c>
      <c r="IK34" s="84" t="s">
        <v>149</v>
      </c>
      <c r="IL34" s="84" t="s">
        <v>149</v>
      </c>
      <c r="IM34" s="84" t="s">
        <v>150</v>
      </c>
      <c r="IN34" s="84" t="s">
        <v>150</v>
      </c>
      <c r="IP34" s="84" t="s">
        <v>150</v>
      </c>
      <c r="IR34" s="84" t="str">
        <f t="shared" si="46"/>
        <v>Partial yes</v>
      </c>
      <c r="IS34" s="84" t="s">
        <v>150</v>
      </c>
      <c r="IT34" s="84" t="s">
        <v>150</v>
      </c>
      <c r="IU34" s="84" t="s">
        <v>150</v>
      </c>
      <c r="IV34" s="84" t="str">
        <f t="shared" si="24"/>
        <v>No</v>
      </c>
      <c r="IW34" s="84" t="s">
        <v>149</v>
      </c>
      <c r="IX34" s="84" t="s">
        <v>149</v>
      </c>
      <c r="IY34" s="84" t="str">
        <f t="shared" si="25"/>
        <v>Yes</v>
      </c>
      <c r="IZ34" s="84" t="s">
        <v>149</v>
      </c>
      <c r="JA34" s="84" t="s">
        <v>149</v>
      </c>
      <c r="JB34" s="84" t="str">
        <f t="shared" si="26"/>
        <v>Yes</v>
      </c>
      <c r="JC34" s="84" t="s">
        <v>150</v>
      </c>
      <c r="JD34" s="84" t="s">
        <v>832</v>
      </c>
      <c r="JE34" s="84" t="str">
        <f t="shared" si="27"/>
        <v>No</v>
      </c>
      <c r="JF34" s="84" t="s">
        <v>149</v>
      </c>
      <c r="JG34" s="84" t="str">
        <f t="shared" si="54"/>
        <v>Yes</v>
      </c>
      <c r="JH34" s="51" t="s">
        <v>150</v>
      </c>
    </row>
    <row r="35" spans="1:268" s="84" customFormat="1" ht="16" x14ac:dyDescent="0.25">
      <c r="A35" s="83">
        <v>40</v>
      </c>
      <c r="B35" s="84" t="s">
        <v>444</v>
      </c>
      <c r="C35" s="84" t="s">
        <v>445</v>
      </c>
      <c r="D35" s="84" t="s">
        <v>446</v>
      </c>
      <c r="E35" s="85">
        <v>45094</v>
      </c>
      <c r="F35" s="84" t="s">
        <v>447</v>
      </c>
      <c r="G35" s="84" t="s">
        <v>149</v>
      </c>
      <c r="H35" s="84" t="s">
        <v>150</v>
      </c>
      <c r="I35" s="84" t="s">
        <v>151</v>
      </c>
      <c r="J35" s="84" t="s">
        <v>152</v>
      </c>
      <c r="K35" s="86" t="s">
        <v>611</v>
      </c>
      <c r="L35" s="84" t="s">
        <v>165</v>
      </c>
      <c r="M35" s="86" t="s">
        <v>612</v>
      </c>
      <c r="N35" s="84" t="s">
        <v>348</v>
      </c>
      <c r="O35" s="86" t="s">
        <v>612</v>
      </c>
      <c r="P35" s="84" t="s">
        <v>158</v>
      </c>
      <c r="Q35" s="84" t="s">
        <v>613</v>
      </c>
      <c r="R35" s="88"/>
      <c r="T35" s="88" t="s">
        <v>149</v>
      </c>
      <c r="U35" s="84" t="s">
        <v>150</v>
      </c>
      <c r="V35" s="84" t="s">
        <v>150</v>
      </c>
      <c r="W35" s="84" t="s">
        <v>150</v>
      </c>
      <c r="X35" s="84" t="s">
        <v>150</v>
      </c>
      <c r="Y35" s="84" t="s">
        <v>150</v>
      </c>
      <c r="Z35" s="84" t="s">
        <v>150</v>
      </c>
      <c r="AA35" s="89"/>
      <c r="AB35" s="84" t="s">
        <v>150</v>
      </c>
      <c r="AC35" s="84" t="s">
        <v>149</v>
      </c>
      <c r="AD35" s="84" t="s">
        <v>150</v>
      </c>
      <c r="AE35" s="84" t="s">
        <v>150</v>
      </c>
      <c r="AF35" s="89"/>
      <c r="AH35" s="90" t="s">
        <v>160</v>
      </c>
      <c r="AI35" s="146" t="s">
        <v>842</v>
      </c>
      <c r="AJ35" s="156" t="s">
        <v>149</v>
      </c>
      <c r="AK35" s="157" t="s">
        <v>568</v>
      </c>
      <c r="AL35" s="158">
        <v>44279</v>
      </c>
      <c r="AM35" s="84" t="s">
        <v>149</v>
      </c>
      <c r="AN35" s="85">
        <v>44297</v>
      </c>
      <c r="AO35" s="84" t="s">
        <v>149</v>
      </c>
      <c r="AP35" s="84" t="s">
        <v>569</v>
      </c>
      <c r="AQ35" s="86"/>
      <c r="AR35" s="91"/>
      <c r="AS35" s="84" t="s">
        <v>149</v>
      </c>
      <c r="AT35" s="84" t="s">
        <v>149</v>
      </c>
      <c r="AU35" s="84" t="s">
        <v>149</v>
      </c>
      <c r="AV35" s="84" t="s">
        <v>150</v>
      </c>
      <c r="AW35" s="84" t="s">
        <v>149</v>
      </c>
      <c r="AX35" s="84" t="s">
        <v>149</v>
      </c>
      <c r="AY35" s="92" t="s">
        <v>149</v>
      </c>
      <c r="AZ35" s="84" t="s">
        <v>149</v>
      </c>
      <c r="BA35" s="84" t="s">
        <v>149</v>
      </c>
      <c r="BB35" s="84" t="s">
        <v>149</v>
      </c>
      <c r="BC35" s="84" t="s">
        <v>149</v>
      </c>
      <c r="BD35" s="84" t="s">
        <v>150</v>
      </c>
      <c r="BE35" s="84" t="s">
        <v>149</v>
      </c>
      <c r="BF35" s="84" t="s">
        <v>149</v>
      </c>
      <c r="BG35" s="87" t="s">
        <v>149</v>
      </c>
      <c r="BH35" s="84" t="s">
        <v>149</v>
      </c>
      <c r="BI35" s="84" t="s">
        <v>149</v>
      </c>
      <c r="BJ35" s="86" t="s">
        <v>149</v>
      </c>
      <c r="BK35" s="84" t="s">
        <v>150</v>
      </c>
      <c r="BL35" s="84" t="s">
        <v>149</v>
      </c>
      <c r="BM35" s="87" t="s">
        <v>149</v>
      </c>
      <c r="BN35" s="84" t="s">
        <v>149</v>
      </c>
      <c r="BO35" s="84" t="s">
        <v>149</v>
      </c>
      <c r="BP35" s="84" t="s">
        <v>149</v>
      </c>
      <c r="BR35" s="84" t="s">
        <v>191</v>
      </c>
      <c r="BT35" s="87" t="s">
        <v>245</v>
      </c>
      <c r="BU35" s="84" t="s">
        <v>164</v>
      </c>
      <c r="BW35" s="92"/>
      <c r="BX35" s="86" t="s">
        <v>165</v>
      </c>
      <c r="BY35" s="84" t="s">
        <v>149</v>
      </c>
      <c r="BZ35" s="93" t="s">
        <v>605</v>
      </c>
      <c r="CA35" s="94">
        <v>5522</v>
      </c>
      <c r="CB35" s="92">
        <v>11</v>
      </c>
      <c r="CC35" s="84">
        <v>11</v>
      </c>
      <c r="CD35" s="95">
        <v>0</v>
      </c>
      <c r="CE35" s="85">
        <v>44924</v>
      </c>
      <c r="CF35" s="84" t="s">
        <v>150</v>
      </c>
      <c r="CH35" s="86"/>
      <c r="CI35" s="84" t="s">
        <v>150</v>
      </c>
      <c r="CJ35" s="92"/>
      <c r="CK35" s="84" t="s">
        <v>149</v>
      </c>
      <c r="CL35" s="92" t="s">
        <v>368</v>
      </c>
      <c r="CM35" s="92" t="s">
        <v>150</v>
      </c>
      <c r="CN35" s="96" t="s">
        <v>150</v>
      </c>
      <c r="CU35" s="97"/>
      <c r="CV35" s="87" t="s">
        <v>150</v>
      </c>
      <c r="CW35" s="97" t="s">
        <v>150</v>
      </c>
      <c r="CX35" s="97"/>
      <c r="DC35" s="97"/>
      <c r="DD35" s="87" t="s">
        <v>150</v>
      </c>
      <c r="DE35" s="97" t="s">
        <v>150</v>
      </c>
      <c r="DF35" s="97"/>
      <c r="DJ35" s="96"/>
      <c r="DK35" s="86"/>
      <c r="DL35" s="84" t="s">
        <v>150</v>
      </c>
      <c r="DM35" s="97" t="s">
        <v>150</v>
      </c>
      <c r="DN35" s="97"/>
      <c r="DS35" s="97"/>
      <c r="DT35" s="90" t="s">
        <v>150</v>
      </c>
      <c r="DU35" s="84" t="s">
        <v>149</v>
      </c>
      <c r="DV35" s="84" t="s">
        <v>368</v>
      </c>
      <c r="DY35" s="87" t="s">
        <v>149</v>
      </c>
      <c r="DZ35" s="84" t="s">
        <v>150</v>
      </c>
      <c r="EB35" s="86"/>
      <c r="EC35" s="87" t="s">
        <v>149</v>
      </c>
      <c r="ED35" s="97" t="s">
        <v>149</v>
      </c>
      <c r="EE35" s="84" t="s">
        <v>570</v>
      </c>
      <c r="EF35" s="84" t="s">
        <v>150</v>
      </c>
      <c r="EG35" s="84" t="s">
        <v>150</v>
      </c>
      <c r="EI35" s="96" t="s">
        <v>150</v>
      </c>
      <c r="EJ35" s="97"/>
      <c r="EN35" s="96"/>
      <c r="EO35" s="96"/>
      <c r="EP35" s="95" t="s">
        <v>705</v>
      </c>
      <c r="EQ35" s="126" t="s">
        <v>150</v>
      </c>
      <c r="ER35" s="136" t="s">
        <v>166</v>
      </c>
      <c r="ES35" s="103" t="s">
        <v>166</v>
      </c>
      <c r="ET35" s="103" t="s">
        <v>166</v>
      </c>
      <c r="EU35" s="102" t="s">
        <v>171</v>
      </c>
      <c r="EV35" s="137" t="s">
        <v>171</v>
      </c>
      <c r="EW35" s="146" t="str">
        <f t="shared" si="0"/>
        <v>High</v>
      </c>
      <c r="EX35" s="141"/>
      <c r="EY35" s="84" t="s">
        <v>149</v>
      </c>
      <c r="EZ35" s="84" t="s">
        <v>149</v>
      </c>
      <c r="FA35" s="84" t="s">
        <v>150</v>
      </c>
      <c r="FB35" s="86" t="str">
        <f t="shared" si="1"/>
        <v>Partial yes</v>
      </c>
      <c r="FC35" s="84" t="s">
        <v>149</v>
      </c>
      <c r="FD35" s="84" t="s">
        <v>149</v>
      </c>
      <c r="FE35" s="84" t="s">
        <v>149</v>
      </c>
      <c r="FF35" s="84" t="s">
        <v>150</v>
      </c>
      <c r="FG35" s="84" t="s">
        <v>150</v>
      </c>
      <c r="FH35" s="84" t="s">
        <v>150</v>
      </c>
      <c r="FI35" s="84" t="s">
        <v>149</v>
      </c>
      <c r="FJ35" s="84" t="s">
        <v>149</v>
      </c>
      <c r="FK35" s="84" t="s">
        <v>150</v>
      </c>
      <c r="FL35" s="84" t="s">
        <v>149</v>
      </c>
      <c r="FM35" s="84" t="s">
        <v>150</v>
      </c>
      <c r="FN35" s="84" t="s">
        <v>150</v>
      </c>
      <c r="FO35" s="84" t="str">
        <f t="shared" si="2"/>
        <v>Partial yes</v>
      </c>
      <c r="FP35" s="84" t="s">
        <v>149</v>
      </c>
      <c r="FQ35" s="84" t="s">
        <v>149</v>
      </c>
      <c r="FR35" s="84" t="s">
        <v>832</v>
      </c>
      <c r="FS35" s="84" t="str">
        <f t="shared" si="52"/>
        <v>Yes</v>
      </c>
      <c r="FT35" s="84" t="s">
        <v>149</v>
      </c>
      <c r="FU35" s="84" t="s">
        <v>832</v>
      </c>
      <c r="FV35" s="84" t="str">
        <f t="shared" si="53"/>
        <v>Yes</v>
      </c>
      <c r="FW35" s="84" t="str">
        <f t="shared" si="5"/>
        <v>Yes</v>
      </c>
      <c r="FX35" s="84" t="str">
        <f t="shared" si="29"/>
        <v>Yes</v>
      </c>
      <c r="FY35" s="84" t="str">
        <f t="shared" si="34"/>
        <v>No</v>
      </c>
      <c r="FZ35" s="84" t="str">
        <f t="shared" si="7"/>
        <v>Partial yes</v>
      </c>
      <c r="GA35" s="84" t="s">
        <v>149</v>
      </c>
      <c r="GB35" s="84" t="str">
        <f t="shared" si="44"/>
        <v>Yes</v>
      </c>
      <c r="GC35" s="84" t="s">
        <v>149</v>
      </c>
      <c r="GD35" s="84" t="str">
        <f t="shared" si="33"/>
        <v>Yes</v>
      </c>
      <c r="GE35" s="84" t="s">
        <v>149</v>
      </c>
      <c r="GF35" s="84" t="str">
        <f t="shared" si="31"/>
        <v>Yes</v>
      </c>
      <c r="GG35" s="84" t="s">
        <v>149</v>
      </c>
      <c r="GH35" s="84" t="str">
        <f t="shared" si="37"/>
        <v>Yes</v>
      </c>
      <c r="GI35" s="84" t="s">
        <v>149</v>
      </c>
      <c r="GJ35" s="84" t="s">
        <v>832</v>
      </c>
      <c r="GK35" s="84" t="str">
        <f t="shared" si="10"/>
        <v>Yes</v>
      </c>
      <c r="GL35" s="84" t="s">
        <v>150</v>
      </c>
      <c r="GM35" s="84" t="s">
        <v>150</v>
      </c>
      <c r="GN35" s="84" t="str">
        <f t="shared" si="36"/>
        <v>No</v>
      </c>
      <c r="GO35" s="84" t="s">
        <v>149</v>
      </c>
      <c r="GP35" s="84" t="s">
        <v>832</v>
      </c>
      <c r="GQ35" s="84" t="str">
        <f t="shared" si="47"/>
        <v>Yes</v>
      </c>
      <c r="GR35" s="84" t="s">
        <v>149</v>
      </c>
      <c r="GS35" s="84" t="str">
        <f t="shared" si="38"/>
        <v>Yes</v>
      </c>
      <c r="GT35" s="84" t="s">
        <v>149</v>
      </c>
      <c r="GU35" s="84" t="s">
        <v>149</v>
      </c>
      <c r="GV35" s="84" t="s">
        <v>149</v>
      </c>
      <c r="GW35" s="84" t="s">
        <v>149</v>
      </c>
      <c r="GX35" s="84" t="s">
        <v>150</v>
      </c>
      <c r="GY35" s="84" t="s">
        <v>150</v>
      </c>
      <c r="GZ35" s="84" t="s">
        <v>149</v>
      </c>
      <c r="HA35" s="84" t="str">
        <f t="shared" si="14"/>
        <v>Partial yes</v>
      </c>
      <c r="HB35" s="84" t="s">
        <v>150</v>
      </c>
      <c r="HC35" s="84" t="str">
        <f t="shared" si="42"/>
        <v>No</v>
      </c>
      <c r="HD35" s="84" t="s">
        <v>150</v>
      </c>
      <c r="HE35" s="84" t="str">
        <f t="shared" si="48"/>
        <v>No</v>
      </c>
      <c r="HF35" s="84" t="s">
        <v>832</v>
      </c>
      <c r="HG35" s="84" t="s">
        <v>832</v>
      </c>
      <c r="HH35" s="84" t="s">
        <v>832</v>
      </c>
      <c r="HI35" s="84" t="s">
        <v>832</v>
      </c>
      <c r="HJ35" s="84" t="s">
        <v>149</v>
      </c>
      <c r="HK35" s="84" t="s">
        <v>832</v>
      </c>
      <c r="HL35" s="84" t="s">
        <v>832</v>
      </c>
      <c r="HM35" s="84" t="s">
        <v>149</v>
      </c>
      <c r="HN35" s="84" t="str">
        <f t="shared" si="49"/>
        <v>Yes</v>
      </c>
      <c r="HO35" s="84" t="s">
        <v>149</v>
      </c>
      <c r="HP35" s="84" t="str">
        <f t="shared" si="50"/>
        <v>Yes</v>
      </c>
      <c r="HQ35" s="84" t="s">
        <v>149</v>
      </c>
      <c r="HR35" s="84" t="str">
        <f t="shared" si="51"/>
        <v>Yes</v>
      </c>
      <c r="HS35" s="84" t="s">
        <v>149</v>
      </c>
      <c r="HT35" s="84" t="str">
        <f t="shared" si="45"/>
        <v>Yes</v>
      </c>
      <c r="HU35" s="84" t="s">
        <v>149</v>
      </c>
      <c r="HV35" s="84" t="s">
        <v>149</v>
      </c>
      <c r="HW35" s="100" t="s">
        <v>832</v>
      </c>
      <c r="HX35" s="84" t="s">
        <v>150</v>
      </c>
      <c r="HY35" s="84" t="s">
        <v>149</v>
      </c>
      <c r="HZ35" s="84" t="str">
        <f t="shared" si="20"/>
        <v>Partial yes</v>
      </c>
      <c r="IA35" s="84" t="s">
        <v>150</v>
      </c>
      <c r="IB35" s="84" t="str">
        <f t="shared" si="41"/>
        <v>No</v>
      </c>
      <c r="IC35" s="84" t="s">
        <v>149</v>
      </c>
      <c r="ID35" s="84" t="str">
        <f t="shared" si="43"/>
        <v>Yes</v>
      </c>
      <c r="IE35" s="84" t="s">
        <v>832</v>
      </c>
      <c r="IF35" s="84" t="s">
        <v>832</v>
      </c>
      <c r="IG35" s="84" t="s">
        <v>832</v>
      </c>
      <c r="IH35" s="84" t="s">
        <v>832</v>
      </c>
      <c r="II35" s="84" t="s">
        <v>832</v>
      </c>
      <c r="IJ35" s="84" t="s">
        <v>149</v>
      </c>
      <c r="IK35" s="84" t="s">
        <v>149</v>
      </c>
      <c r="IL35" s="84" t="s">
        <v>149</v>
      </c>
      <c r="IM35" s="84" t="s">
        <v>150</v>
      </c>
      <c r="IN35" s="84" t="s">
        <v>149</v>
      </c>
      <c r="IP35" s="84" t="s">
        <v>150</v>
      </c>
      <c r="IR35" s="84" t="str">
        <f t="shared" si="46"/>
        <v>Partial yes</v>
      </c>
      <c r="IS35" s="84" t="s">
        <v>149</v>
      </c>
      <c r="IT35" s="84" t="s">
        <v>149</v>
      </c>
      <c r="IU35" s="84" t="s">
        <v>150</v>
      </c>
      <c r="IV35" s="84" t="str">
        <f t="shared" si="24"/>
        <v>Partial yes</v>
      </c>
      <c r="IW35" s="84" t="s">
        <v>149</v>
      </c>
      <c r="IX35" s="84" t="s">
        <v>149</v>
      </c>
      <c r="IY35" s="84" t="str">
        <f t="shared" si="25"/>
        <v>Yes</v>
      </c>
      <c r="IZ35" s="84" t="s">
        <v>149</v>
      </c>
      <c r="JA35" s="84" t="s">
        <v>149</v>
      </c>
      <c r="JB35" s="84" t="str">
        <f t="shared" si="26"/>
        <v>Yes</v>
      </c>
      <c r="JC35" s="84" t="s">
        <v>150</v>
      </c>
      <c r="JD35" s="84" t="s">
        <v>832</v>
      </c>
      <c r="JE35" s="84" t="str">
        <f t="shared" si="27"/>
        <v>No</v>
      </c>
      <c r="JF35" s="84" t="s">
        <v>149</v>
      </c>
      <c r="JG35" s="84" t="str">
        <f t="shared" si="54"/>
        <v>Yes</v>
      </c>
      <c r="JH35" s="51" t="s">
        <v>150</v>
      </c>
    </row>
    <row r="36" spans="1:268" s="84" customFormat="1" ht="16" x14ac:dyDescent="0.25">
      <c r="A36" s="83">
        <v>42</v>
      </c>
      <c r="B36" s="84" t="s">
        <v>448</v>
      </c>
      <c r="C36" s="84" t="s">
        <v>449</v>
      </c>
      <c r="D36" s="84" t="s">
        <v>450</v>
      </c>
      <c r="E36" s="85">
        <v>45314</v>
      </c>
      <c r="F36" s="84" t="s">
        <v>451</v>
      </c>
      <c r="G36" s="84" t="s">
        <v>149</v>
      </c>
      <c r="H36" s="84" t="s">
        <v>150</v>
      </c>
      <c r="I36" s="84" t="s">
        <v>614</v>
      </c>
      <c r="J36" s="84" t="s">
        <v>494</v>
      </c>
      <c r="K36" s="86" t="s">
        <v>632</v>
      </c>
      <c r="L36" s="84" t="s">
        <v>154</v>
      </c>
      <c r="M36" s="86" t="s">
        <v>615</v>
      </c>
      <c r="N36" s="87" t="s">
        <v>718</v>
      </c>
      <c r="O36" s="86" t="s">
        <v>616</v>
      </c>
      <c r="P36" s="84" t="s">
        <v>185</v>
      </c>
      <c r="Q36" s="84" t="s">
        <v>206</v>
      </c>
      <c r="R36" s="88">
        <v>4</v>
      </c>
      <c r="S36" s="84" t="s">
        <v>633</v>
      </c>
      <c r="T36" s="88" t="s">
        <v>149</v>
      </c>
      <c r="U36" s="84" t="s">
        <v>149</v>
      </c>
      <c r="V36" s="84" t="s">
        <v>150</v>
      </c>
      <c r="W36" s="84" t="s">
        <v>150</v>
      </c>
      <c r="X36" s="84" t="s">
        <v>150</v>
      </c>
      <c r="Y36" s="84" t="s">
        <v>150</v>
      </c>
      <c r="Z36" s="84" t="s">
        <v>150</v>
      </c>
      <c r="AA36" s="89"/>
      <c r="AB36" s="84" t="s">
        <v>149</v>
      </c>
      <c r="AC36" s="84" t="s">
        <v>150</v>
      </c>
      <c r="AD36" s="84" t="s">
        <v>150</v>
      </c>
      <c r="AE36" s="84" t="s">
        <v>150</v>
      </c>
      <c r="AF36" s="89"/>
      <c r="AH36" s="90" t="s">
        <v>188</v>
      </c>
      <c r="AI36" s="146" t="s">
        <v>149</v>
      </c>
      <c r="AJ36" s="156" t="s">
        <v>149</v>
      </c>
      <c r="AK36" s="157" t="s">
        <v>617</v>
      </c>
      <c r="AL36" s="158">
        <v>44651</v>
      </c>
      <c r="AM36" s="84" t="s">
        <v>149</v>
      </c>
      <c r="AN36" s="85">
        <v>44245</v>
      </c>
      <c r="AO36" s="84" t="s">
        <v>149</v>
      </c>
      <c r="AP36" s="84" t="s">
        <v>618</v>
      </c>
      <c r="AQ36" s="86"/>
      <c r="AR36" s="91"/>
      <c r="AS36" s="84" t="s">
        <v>149</v>
      </c>
      <c r="AT36" s="84" t="s">
        <v>149</v>
      </c>
      <c r="AU36" s="84" t="s">
        <v>149</v>
      </c>
      <c r="AV36" s="84" t="s">
        <v>150</v>
      </c>
      <c r="AW36" s="84" t="s">
        <v>150</v>
      </c>
      <c r="AX36" s="84" t="s">
        <v>149</v>
      </c>
      <c r="AY36" s="92" t="s">
        <v>149</v>
      </c>
      <c r="AZ36" s="84" t="s">
        <v>149</v>
      </c>
      <c r="BA36" s="84" t="s">
        <v>149</v>
      </c>
      <c r="BB36" s="84" t="s">
        <v>150</v>
      </c>
      <c r="BC36" s="84" t="s">
        <v>149</v>
      </c>
      <c r="BD36" s="84" t="s">
        <v>150</v>
      </c>
      <c r="BE36" s="84" t="s">
        <v>150</v>
      </c>
      <c r="BF36" s="84" t="s">
        <v>150</v>
      </c>
      <c r="BG36" s="87" t="s">
        <v>149</v>
      </c>
      <c r="BH36" s="84" t="s">
        <v>149</v>
      </c>
      <c r="BI36" s="84" t="s">
        <v>149</v>
      </c>
      <c r="BJ36" s="86" t="s">
        <v>149</v>
      </c>
      <c r="BK36" s="84" t="s">
        <v>150</v>
      </c>
      <c r="BL36" s="84" t="s">
        <v>149</v>
      </c>
      <c r="BM36" s="87" t="s">
        <v>149</v>
      </c>
      <c r="BN36" s="84" t="s">
        <v>149</v>
      </c>
      <c r="BO36" s="84" t="s">
        <v>149</v>
      </c>
      <c r="BP36" s="84" t="s">
        <v>149</v>
      </c>
      <c r="BR36" s="84" t="s">
        <v>149</v>
      </c>
      <c r="BT36" s="87" t="s">
        <v>163</v>
      </c>
      <c r="BU36" s="84" t="s">
        <v>164</v>
      </c>
      <c r="BW36" s="92"/>
      <c r="BX36" s="86" t="s">
        <v>174</v>
      </c>
      <c r="BY36" s="84" t="s">
        <v>149</v>
      </c>
      <c r="BZ36" s="93"/>
      <c r="CA36" s="94">
        <v>1987</v>
      </c>
      <c r="CB36" s="92">
        <v>43</v>
      </c>
      <c r="CC36" s="84">
        <v>6</v>
      </c>
      <c r="CD36" s="95">
        <v>37</v>
      </c>
      <c r="CE36" s="85">
        <v>45170</v>
      </c>
      <c r="CF36" s="84" t="s">
        <v>149</v>
      </c>
      <c r="CG36" s="85">
        <v>44712</v>
      </c>
      <c r="CH36" s="86" t="s">
        <v>634</v>
      </c>
      <c r="CI36" s="84" t="s">
        <v>149</v>
      </c>
      <c r="CJ36" s="92">
        <v>3</v>
      </c>
      <c r="CK36" s="84" t="s">
        <v>149</v>
      </c>
      <c r="CL36" s="92" t="s">
        <v>167</v>
      </c>
      <c r="CM36" s="92" t="s">
        <v>150</v>
      </c>
      <c r="CN36" s="96" t="s">
        <v>150</v>
      </c>
      <c r="CU36" s="97"/>
      <c r="CV36" s="87" t="s">
        <v>150</v>
      </c>
      <c r="CW36" s="97" t="s">
        <v>150</v>
      </c>
      <c r="CX36" s="97"/>
      <c r="DC36" s="97"/>
      <c r="DD36" s="87" t="s">
        <v>150</v>
      </c>
      <c r="DE36" s="97" t="s">
        <v>150</v>
      </c>
      <c r="DF36" s="97"/>
      <c r="DJ36" s="96"/>
      <c r="DK36" s="86"/>
      <c r="DL36" s="84" t="s">
        <v>150</v>
      </c>
      <c r="DM36" s="97" t="s">
        <v>150</v>
      </c>
      <c r="DN36" s="97"/>
      <c r="DS36" s="97"/>
      <c r="DT36" s="90" t="s">
        <v>150</v>
      </c>
      <c r="DU36" s="84" t="s">
        <v>150</v>
      </c>
      <c r="DW36" s="84" t="s">
        <v>150</v>
      </c>
      <c r="DX36" s="84" t="s">
        <v>635</v>
      </c>
      <c r="DY36" s="87" t="s">
        <v>150</v>
      </c>
      <c r="DZ36" s="84" t="s">
        <v>150</v>
      </c>
      <c r="EB36" s="86"/>
      <c r="EC36" s="87" t="s">
        <v>150</v>
      </c>
      <c r="ED36" s="97"/>
      <c r="EI36" s="96" t="s">
        <v>150</v>
      </c>
      <c r="EJ36" s="97"/>
      <c r="EN36" s="96"/>
      <c r="EO36" s="96"/>
      <c r="EP36" s="95"/>
      <c r="EQ36" s="126" t="s">
        <v>150</v>
      </c>
      <c r="ER36" s="135" t="s">
        <v>166</v>
      </c>
      <c r="ES36" s="84" t="s">
        <v>166</v>
      </c>
      <c r="ET36" s="84" t="s">
        <v>166</v>
      </c>
      <c r="EU36" s="86" t="s">
        <v>166</v>
      </c>
      <c r="EV36" s="95" t="s">
        <v>166</v>
      </c>
      <c r="EW36" s="146" t="str">
        <f t="shared" si="0"/>
        <v>Low</v>
      </c>
      <c r="EX36" s="141"/>
      <c r="EY36" s="84" t="s">
        <v>149</v>
      </c>
      <c r="EZ36" s="84" t="s">
        <v>149</v>
      </c>
      <c r="FA36" s="84" t="s">
        <v>150</v>
      </c>
      <c r="FB36" s="86" t="str">
        <f t="shared" si="1"/>
        <v>Partial yes</v>
      </c>
      <c r="FC36" s="84" t="s">
        <v>149</v>
      </c>
      <c r="FD36" s="84" t="s">
        <v>149</v>
      </c>
      <c r="FE36" s="84" t="s">
        <v>150</v>
      </c>
      <c r="FF36" s="84" t="s">
        <v>150</v>
      </c>
      <c r="FG36" s="84" t="s">
        <v>149</v>
      </c>
      <c r="FH36" s="84" t="s">
        <v>149</v>
      </c>
      <c r="FI36" s="84" t="s">
        <v>149</v>
      </c>
      <c r="FJ36" s="84" t="s">
        <v>149</v>
      </c>
      <c r="FK36" s="84" t="s">
        <v>149</v>
      </c>
      <c r="FL36" s="84" t="s">
        <v>149</v>
      </c>
      <c r="FM36" s="84" t="s">
        <v>150</v>
      </c>
      <c r="FN36" s="84" t="s">
        <v>150</v>
      </c>
      <c r="FO36" s="84" t="str">
        <f t="shared" si="2"/>
        <v>Partial yes</v>
      </c>
      <c r="FP36" s="84" t="s">
        <v>149</v>
      </c>
      <c r="FQ36" s="84" t="s">
        <v>149</v>
      </c>
      <c r="FR36" s="84" t="s">
        <v>832</v>
      </c>
      <c r="FS36" s="84" t="str">
        <f t="shared" si="52"/>
        <v>Yes</v>
      </c>
      <c r="FT36" s="84" t="s">
        <v>149</v>
      </c>
      <c r="FU36" s="84" t="s">
        <v>832</v>
      </c>
      <c r="FV36" s="84" t="str">
        <f t="shared" si="53"/>
        <v>Yes</v>
      </c>
      <c r="FW36" s="84" t="str">
        <f t="shared" si="5"/>
        <v>Yes</v>
      </c>
      <c r="FX36" s="84" t="str">
        <f t="shared" si="29"/>
        <v>No</v>
      </c>
      <c r="FY36" s="84" t="str">
        <f t="shared" si="34"/>
        <v>No</v>
      </c>
      <c r="FZ36" s="84" t="str">
        <f t="shared" si="7"/>
        <v>Partial yes</v>
      </c>
      <c r="GA36" s="84" t="s">
        <v>149</v>
      </c>
      <c r="GB36" s="84" t="str">
        <f t="shared" si="44"/>
        <v>Yes</v>
      </c>
      <c r="GC36" s="84" t="s">
        <v>149</v>
      </c>
      <c r="GD36" s="84" t="str">
        <f t="shared" si="33"/>
        <v>Yes</v>
      </c>
      <c r="GE36" s="84" t="s">
        <v>149</v>
      </c>
      <c r="GF36" s="84" t="str">
        <f t="shared" si="31"/>
        <v>Yes</v>
      </c>
      <c r="GG36" s="84" t="s">
        <v>149</v>
      </c>
      <c r="GH36" s="84" t="str">
        <f t="shared" si="37"/>
        <v>Yes</v>
      </c>
      <c r="GI36" s="84" t="s">
        <v>149</v>
      </c>
      <c r="GJ36" s="84" t="s">
        <v>832</v>
      </c>
      <c r="GK36" s="84" t="str">
        <f t="shared" si="10"/>
        <v>Yes</v>
      </c>
      <c r="GL36" s="84" t="s">
        <v>150</v>
      </c>
      <c r="GM36" s="84" t="s">
        <v>150</v>
      </c>
      <c r="GN36" s="84" t="str">
        <f t="shared" si="36"/>
        <v>No</v>
      </c>
      <c r="GO36" s="84" t="s">
        <v>149</v>
      </c>
      <c r="GP36" s="84" t="s">
        <v>832</v>
      </c>
      <c r="GQ36" s="84" t="str">
        <f t="shared" si="47"/>
        <v>Yes</v>
      </c>
      <c r="GR36" s="84" t="s">
        <v>149</v>
      </c>
      <c r="GS36" s="84" t="str">
        <f t="shared" si="38"/>
        <v>Yes</v>
      </c>
      <c r="GT36" s="84" t="s">
        <v>149</v>
      </c>
      <c r="GU36" s="84" t="s">
        <v>149</v>
      </c>
      <c r="GV36" s="84" t="s">
        <v>149</v>
      </c>
      <c r="GW36" s="84" t="s">
        <v>149</v>
      </c>
      <c r="GX36" s="84" t="s">
        <v>150</v>
      </c>
      <c r="GY36" s="84" t="s">
        <v>149</v>
      </c>
      <c r="GZ36" s="84" t="s">
        <v>150</v>
      </c>
      <c r="HA36" s="84" t="str">
        <f t="shared" si="14"/>
        <v>Partial yes</v>
      </c>
      <c r="HB36" s="84" t="s">
        <v>150</v>
      </c>
      <c r="HC36" s="84" t="str">
        <f t="shared" si="42"/>
        <v>No</v>
      </c>
      <c r="HD36" s="84" t="s">
        <v>149</v>
      </c>
      <c r="HE36" s="84" t="str">
        <f t="shared" si="48"/>
        <v>Yes</v>
      </c>
      <c r="HF36" s="84" t="s">
        <v>832</v>
      </c>
      <c r="HG36" s="84" t="s">
        <v>832</v>
      </c>
      <c r="HH36" s="84" t="s">
        <v>832</v>
      </c>
      <c r="HI36" s="84" t="s">
        <v>832</v>
      </c>
      <c r="HJ36" s="84" t="s">
        <v>149</v>
      </c>
      <c r="HK36" s="84" t="s">
        <v>832</v>
      </c>
      <c r="HL36" s="84" t="s">
        <v>832</v>
      </c>
      <c r="HM36" s="84" t="s">
        <v>149</v>
      </c>
      <c r="HN36" s="84" t="str">
        <f t="shared" si="49"/>
        <v>Yes</v>
      </c>
      <c r="HO36" s="84" t="s">
        <v>149</v>
      </c>
      <c r="HP36" s="84" t="str">
        <f t="shared" si="50"/>
        <v>Yes</v>
      </c>
      <c r="HQ36" s="84" t="s">
        <v>149</v>
      </c>
      <c r="HR36" s="84" t="str">
        <f t="shared" si="51"/>
        <v>Yes</v>
      </c>
      <c r="HS36" s="84" t="s">
        <v>149</v>
      </c>
      <c r="HT36" s="84" t="str">
        <f t="shared" si="45"/>
        <v>Yes</v>
      </c>
      <c r="HU36" s="84" t="s">
        <v>149</v>
      </c>
      <c r="HV36" s="84" t="s">
        <v>149</v>
      </c>
      <c r="HW36" s="100" t="s">
        <v>832</v>
      </c>
      <c r="HX36" s="84" t="s">
        <v>149</v>
      </c>
      <c r="HY36" s="84" t="s">
        <v>150</v>
      </c>
      <c r="HZ36" s="84" t="str">
        <f t="shared" si="20"/>
        <v>Partial yes</v>
      </c>
      <c r="IA36" s="84" t="s">
        <v>150</v>
      </c>
      <c r="IB36" s="84" t="str">
        <f t="shared" si="41"/>
        <v>No</v>
      </c>
      <c r="IC36" s="84" t="s">
        <v>149</v>
      </c>
      <c r="ID36" s="84" t="str">
        <f t="shared" si="43"/>
        <v>Yes</v>
      </c>
      <c r="IE36" s="84" t="s">
        <v>832</v>
      </c>
      <c r="IF36" s="84" t="s">
        <v>832</v>
      </c>
      <c r="IG36" s="84" t="s">
        <v>832</v>
      </c>
      <c r="IH36" s="84" t="s">
        <v>832</v>
      </c>
      <c r="II36" s="84" t="s">
        <v>832</v>
      </c>
      <c r="IJ36" s="84" t="s">
        <v>149</v>
      </c>
      <c r="IK36" s="84" t="s">
        <v>149</v>
      </c>
      <c r="IL36" s="84" t="s">
        <v>149</v>
      </c>
      <c r="IM36" s="84" t="s">
        <v>150</v>
      </c>
      <c r="IN36" s="84" t="s">
        <v>149</v>
      </c>
      <c r="IP36" s="84" t="s">
        <v>150</v>
      </c>
      <c r="IR36" s="84" t="str">
        <f t="shared" si="46"/>
        <v>Partial yes</v>
      </c>
      <c r="IS36" s="84" t="s">
        <v>149</v>
      </c>
      <c r="IT36" s="84" t="s">
        <v>149</v>
      </c>
      <c r="IU36" s="84" t="s">
        <v>150</v>
      </c>
      <c r="IV36" s="84" t="str">
        <f t="shared" si="24"/>
        <v>Partial yes</v>
      </c>
      <c r="IW36" s="84" t="s">
        <v>149</v>
      </c>
      <c r="IX36" s="84" t="s">
        <v>149</v>
      </c>
      <c r="IY36" s="84" t="str">
        <f t="shared" si="25"/>
        <v>Yes</v>
      </c>
      <c r="IZ36" s="84" t="s">
        <v>149</v>
      </c>
      <c r="JA36" s="84" t="s">
        <v>149</v>
      </c>
      <c r="JB36" s="84" t="str">
        <f t="shared" si="26"/>
        <v>Yes</v>
      </c>
      <c r="JC36" s="84" t="s">
        <v>150</v>
      </c>
      <c r="JD36" s="84" t="s">
        <v>832</v>
      </c>
      <c r="JE36" s="84" t="str">
        <f t="shared" si="27"/>
        <v>No</v>
      </c>
      <c r="JF36" s="84" t="s">
        <v>149</v>
      </c>
      <c r="JG36" s="84" t="str">
        <f t="shared" si="54"/>
        <v>Yes</v>
      </c>
      <c r="JH36" s="51" t="s">
        <v>150</v>
      </c>
    </row>
    <row r="37" spans="1:268" s="84" customFormat="1" ht="16" x14ac:dyDescent="0.25">
      <c r="A37" s="83">
        <v>43</v>
      </c>
      <c r="B37" s="84" t="s">
        <v>452</v>
      </c>
      <c r="C37" s="84" t="s">
        <v>453</v>
      </c>
      <c r="D37" s="84" t="s">
        <v>454</v>
      </c>
      <c r="E37" s="85">
        <v>45254</v>
      </c>
      <c r="F37" s="84" t="s">
        <v>455</v>
      </c>
      <c r="G37" s="84" t="s">
        <v>149</v>
      </c>
      <c r="H37" s="84" t="s">
        <v>150</v>
      </c>
      <c r="I37" s="84" t="s">
        <v>180</v>
      </c>
      <c r="J37" s="84" t="s">
        <v>495</v>
      </c>
      <c r="K37" s="86" t="s">
        <v>619</v>
      </c>
      <c r="L37" s="84" t="s">
        <v>154</v>
      </c>
      <c r="M37" s="86" t="s">
        <v>636</v>
      </c>
      <c r="N37" s="84" t="s">
        <v>620</v>
      </c>
      <c r="O37" s="86" t="s">
        <v>620</v>
      </c>
      <c r="P37" s="84" t="s">
        <v>185</v>
      </c>
      <c r="Q37" s="84" t="s">
        <v>637</v>
      </c>
      <c r="R37" s="88">
        <v>7</v>
      </c>
      <c r="S37" s="84" t="s">
        <v>638</v>
      </c>
      <c r="T37" s="88" t="s">
        <v>149</v>
      </c>
      <c r="U37" s="84" t="s">
        <v>150</v>
      </c>
      <c r="V37" s="84" t="s">
        <v>150</v>
      </c>
      <c r="W37" s="84" t="s">
        <v>150</v>
      </c>
      <c r="X37" s="84" t="s">
        <v>150</v>
      </c>
      <c r="Y37" s="84" t="s">
        <v>149</v>
      </c>
      <c r="Z37" s="84" t="s">
        <v>150</v>
      </c>
      <c r="AA37" s="89"/>
      <c r="AB37" s="84" t="s">
        <v>149</v>
      </c>
      <c r="AC37" s="84" t="s">
        <v>149</v>
      </c>
      <c r="AD37" s="84" t="s">
        <v>150</v>
      </c>
      <c r="AE37" s="84" t="s">
        <v>150</v>
      </c>
      <c r="AF37" s="89"/>
      <c r="AH37" s="90" t="s">
        <v>160</v>
      </c>
      <c r="AI37" s="146" t="s">
        <v>150</v>
      </c>
      <c r="AJ37" s="87" t="s">
        <v>150</v>
      </c>
      <c r="AL37" s="92"/>
      <c r="AM37" s="84" t="s">
        <v>149</v>
      </c>
      <c r="AN37" s="85">
        <v>44860</v>
      </c>
      <c r="AO37" s="84" t="s">
        <v>149</v>
      </c>
      <c r="AP37" s="84" t="s">
        <v>621</v>
      </c>
      <c r="AQ37" s="86"/>
      <c r="AR37" s="91"/>
      <c r="AS37" s="84" t="s">
        <v>149</v>
      </c>
      <c r="AT37" s="84" t="s">
        <v>149</v>
      </c>
      <c r="AU37" s="84" t="s">
        <v>149</v>
      </c>
      <c r="AV37" s="84" t="s">
        <v>150</v>
      </c>
      <c r="AW37" s="84" t="s">
        <v>150</v>
      </c>
      <c r="AX37" s="84" t="s">
        <v>150</v>
      </c>
      <c r="AY37" s="92" t="s">
        <v>149</v>
      </c>
      <c r="AZ37" s="84" t="s">
        <v>149</v>
      </c>
      <c r="BA37" s="84" t="s">
        <v>149</v>
      </c>
      <c r="BB37" s="84" t="s">
        <v>150</v>
      </c>
      <c r="BC37" s="84" t="s">
        <v>150</v>
      </c>
      <c r="BD37" s="84" t="s">
        <v>149</v>
      </c>
      <c r="BE37" s="84" t="s">
        <v>149</v>
      </c>
      <c r="BF37" s="84" t="s">
        <v>149</v>
      </c>
      <c r="BG37" s="87" t="s">
        <v>149</v>
      </c>
      <c r="BH37" s="84" t="s">
        <v>149</v>
      </c>
      <c r="BI37" s="84" t="s">
        <v>149</v>
      </c>
      <c r="BJ37" s="86" t="s">
        <v>149</v>
      </c>
      <c r="BK37" s="84" t="s">
        <v>149</v>
      </c>
      <c r="BL37" s="84" t="s">
        <v>149</v>
      </c>
      <c r="BM37" s="87" t="s">
        <v>149</v>
      </c>
      <c r="BN37" s="84" t="s">
        <v>149</v>
      </c>
      <c r="BO37" s="84" t="s">
        <v>149</v>
      </c>
      <c r="BP37" s="84" t="s">
        <v>149</v>
      </c>
      <c r="BR37" s="84" t="s">
        <v>191</v>
      </c>
      <c r="BT37" s="87" t="s">
        <v>163</v>
      </c>
      <c r="BU37" s="84" t="s">
        <v>164</v>
      </c>
      <c r="BW37" s="92"/>
      <c r="BX37" s="86" t="s">
        <v>165</v>
      </c>
      <c r="BY37" s="84" t="s">
        <v>149</v>
      </c>
      <c r="BZ37" s="93" t="s">
        <v>605</v>
      </c>
      <c r="CA37" s="94">
        <v>1683</v>
      </c>
      <c r="CB37" s="92">
        <v>7</v>
      </c>
      <c r="CC37" s="84">
        <v>7</v>
      </c>
      <c r="CD37" s="95">
        <v>0</v>
      </c>
      <c r="CE37" s="85">
        <v>45158</v>
      </c>
      <c r="CF37" s="84" t="s">
        <v>150</v>
      </c>
      <c r="CH37" s="86"/>
      <c r="CI37" s="84" t="s">
        <v>150</v>
      </c>
      <c r="CJ37" s="92"/>
      <c r="CK37" s="84" t="s">
        <v>149</v>
      </c>
      <c r="CL37" s="92" t="s">
        <v>192</v>
      </c>
      <c r="CM37" s="92" t="s">
        <v>150</v>
      </c>
      <c r="CN37" s="96" t="s">
        <v>150</v>
      </c>
      <c r="CU37" s="97"/>
      <c r="CV37" s="87" t="s">
        <v>150</v>
      </c>
      <c r="CW37" s="97" t="s">
        <v>150</v>
      </c>
      <c r="CX37" s="97"/>
      <c r="DC37" s="97"/>
      <c r="DD37" s="87" t="s">
        <v>150</v>
      </c>
      <c r="DE37" s="97" t="s">
        <v>150</v>
      </c>
      <c r="DF37" s="97"/>
      <c r="DJ37" s="96"/>
      <c r="DK37" s="86"/>
      <c r="DL37" s="84" t="s">
        <v>150</v>
      </c>
      <c r="DM37" s="97" t="s">
        <v>150</v>
      </c>
      <c r="DN37" s="97"/>
      <c r="DS37" s="97"/>
      <c r="DT37" s="90" t="s">
        <v>150</v>
      </c>
      <c r="DU37" s="84" t="s">
        <v>150</v>
      </c>
      <c r="DW37" s="84" t="s">
        <v>150</v>
      </c>
      <c r="DY37" s="87" t="s">
        <v>150</v>
      </c>
      <c r="DZ37" s="84" t="s">
        <v>150</v>
      </c>
      <c r="EB37" s="86"/>
      <c r="EC37" s="87" t="s">
        <v>149</v>
      </c>
      <c r="ED37" s="97" t="s">
        <v>150</v>
      </c>
      <c r="EF37" s="84" t="s">
        <v>196</v>
      </c>
      <c r="EG37" s="84" t="s">
        <v>150</v>
      </c>
      <c r="EI37" s="96" t="s">
        <v>150</v>
      </c>
      <c r="EJ37" s="97"/>
      <c r="EN37" s="96"/>
      <c r="EO37" s="96"/>
      <c r="EP37" s="95" t="s">
        <v>639</v>
      </c>
      <c r="EQ37" s="126" t="s">
        <v>150</v>
      </c>
      <c r="ER37" s="136" t="s">
        <v>166</v>
      </c>
      <c r="ES37" s="103" t="s">
        <v>166</v>
      </c>
      <c r="ET37" s="103" t="s">
        <v>166</v>
      </c>
      <c r="EU37" s="102" t="s">
        <v>166</v>
      </c>
      <c r="EV37" s="137" t="s">
        <v>166</v>
      </c>
      <c r="EW37" s="146" t="str">
        <f t="shared" si="0"/>
        <v>Low</v>
      </c>
      <c r="EX37" s="141"/>
      <c r="EY37" s="84" t="s">
        <v>149</v>
      </c>
      <c r="EZ37" s="84" t="s">
        <v>149</v>
      </c>
      <c r="FA37" s="84" t="s">
        <v>150</v>
      </c>
      <c r="FB37" s="86" t="str">
        <f t="shared" si="1"/>
        <v>Partial yes</v>
      </c>
      <c r="FC37" s="84" t="s">
        <v>149</v>
      </c>
      <c r="FD37" s="84" t="s">
        <v>150</v>
      </c>
      <c r="FE37" s="84" t="s">
        <v>150</v>
      </c>
      <c r="FF37" s="84" t="s">
        <v>150</v>
      </c>
      <c r="FG37" s="84" t="s">
        <v>150</v>
      </c>
      <c r="FH37" s="84" t="s">
        <v>150</v>
      </c>
      <c r="FI37" s="84" t="s">
        <v>150</v>
      </c>
      <c r="FJ37" s="84" t="s">
        <v>150</v>
      </c>
      <c r="FK37" s="84" t="s">
        <v>150</v>
      </c>
      <c r="FL37" s="84" t="s">
        <v>149</v>
      </c>
      <c r="FM37" s="84" t="s">
        <v>150</v>
      </c>
      <c r="FN37" s="84" t="s">
        <v>150</v>
      </c>
      <c r="FO37" s="84" t="str">
        <f t="shared" si="2"/>
        <v>Partial yes</v>
      </c>
      <c r="FP37" s="84" t="s">
        <v>149</v>
      </c>
      <c r="FQ37" s="84" t="s">
        <v>149</v>
      </c>
      <c r="FR37" s="84" t="s">
        <v>832</v>
      </c>
      <c r="FS37" s="84" t="str">
        <f t="shared" si="52"/>
        <v>Yes</v>
      </c>
      <c r="FT37" s="84" t="s">
        <v>149</v>
      </c>
      <c r="FU37" s="84" t="s">
        <v>832</v>
      </c>
      <c r="FV37" s="84" t="str">
        <f t="shared" si="53"/>
        <v>Yes</v>
      </c>
      <c r="FW37" s="84" t="str">
        <f t="shared" si="5"/>
        <v>Yes</v>
      </c>
      <c r="FX37" s="84" t="str">
        <f t="shared" si="29"/>
        <v>No</v>
      </c>
      <c r="FY37" s="84" t="str">
        <f t="shared" si="34"/>
        <v>No</v>
      </c>
      <c r="FZ37" s="84" t="str">
        <f t="shared" si="7"/>
        <v>Partial yes</v>
      </c>
      <c r="GA37" s="84" t="s">
        <v>150</v>
      </c>
      <c r="GB37" s="84" t="str">
        <f t="shared" si="44"/>
        <v>No</v>
      </c>
      <c r="GC37" s="84" t="s">
        <v>150</v>
      </c>
      <c r="GD37" s="84" t="str">
        <f t="shared" si="33"/>
        <v>No</v>
      </c>
      <c r="GE37" s="84" t="s">
        <v>150</v>
      </c>
      <c r="GF37" s="84" t="str">
        <f t="shared" si="31"/>
        <v>No</v>
      </c>
      <c r="GG37" s="84" t="s">
        <v>149</v>
      </c>
      <c r="GH37" s="84" t="str">
        <f t="shared" si="37"/>
        <v>Yes</v>
      </c>
      <c r="GI37" s="84" t="s">
        <v>149</v>
      </c>
      <c r="GJ37" s="84" t="s">
        <v>832</v>
      </c>
      <c r="GK37" s="84" t="str">
        <f t="shared" si="10"/>
        <v>Yes</v>
      </c>
      <c r="GL37" s="84" t="s">
        <v>149</v>
      </c>
      <c r="GM37" s="84" t="s">
        <v>149</v>
      </c>
      <c r="GN37" s="84" t="str">
        <f t="shared" si="36"/>
        <v>Yes</v>
      </c>
      <c r="GO37" s="84" t="s">
        <v>149</v>
      </c>
      <c r="GP37" s="84" t="s">
        <v>832</v>
      </c>
      <c r="GQ37" s="84" t="str">
        <f t="shared" si="47"/>
        <v>Yes</v>
      </c>
      <c r="GR37" s="84" t="s">
        <v>149</v>
      </c>
      <c r="GS37" s="84" t="str">
        <f t="shared" si="38"/>
        <v>Yes</v>
      </c>
      <c r="GT37" s="84" t="s">
        <v>149</v>
      </c>
      <c r="GU37" s="84" t="s">
        <v>149</v>
      </c>
      <c r="GV37" s="84" t="s">
        <v>149</v>
      </c>
      <c r="GW37" s="84" t="s">
        <v>149</v>
      </c>
      <c r="GX37" s="84" t="s">
        <v>150</v>
      </c>
      <c r="GY37" s="84" t="s">
        <v>149</v>
      </c>
      <c r="GZ37" s="84" t="s">
        <v>149</v>
      </c>
      <c r="HA37" s="84" t="str">
        <f t="shared" si="14"/>
        <v>Partial yes</v>
      </c>
      <c r="HB37" s="84" t="s">
        <v>149</v>
      </c>
      <c r="HC37" s="84" t="str">
        <f t="shared" si="42"/>
        <v>Yes</v>
      </c>
      <c r="HD37" s="84" t="s">
        <v>149</v>
      </c>
      <c r="HE37" s="84" t="str">
        <f t="shared" si="48"/>
        <v>Yes</v>
      </c>
      <c r="HF37" s="84" t="s">
        <v>832</v>
      </c>
      <c r="HG37" s="84" t="s">
        <v>832</v>
      </c>
      <c r="HH37" s="84" t="s">
        <v>832</v>
      </c>
      <c r="HI37" s="84" t="s">
        <v>832</v>
      </c>
      <c r="HJ37" s="84" t="s">
        <v>149</v>
      </c>
      <c r="HK37" s="84" t="s">
        <v>832</v>
      </c>
      <c r="HL37" s="84" t="s">
        <v>832</v>
      </c>
      <c r="HM37" s="84" t="s">
        <v>149</v>
      </c>
      <c r="HN37" s="84" t="str">
        <f t="shared" si="49"/>
        <v>Yes</v>
      </c>
      <c r="HO37" s="84" t="s">
        <v>149</v>
      </c>
      <c r="HP37" s="84" t="str">
        <f t="shared" si="50"/>
        <v>Yes</v>
      </c>
      <c r="HQ37" s="84" t="s">
        <v>149</v>
      </c>
      <c r="HR37" s="84" t="str">
        <f t="shared" si="51"/>
        <v>Yes</v>
      </c>
      <c r="HS37" s="84" t="s">
        <v>149</v>
      </c>
      <c r="HT37" s="84" t="str">
        <f t="shared" si="45"/>
        <v>Yes</v>
      </c>
      <c r="HU37" s="84" t="s">
        <v>149</v>
      </c>
      <c r="HV37" s="84" t="s">
        <v>149</v>
      </c>
      <c r="HW37" s="100" t="s">
        <v>832</v>
      </c>
      <c r="HX37" s="84" t="s">
        <v>149</v>
      </c>
      <c r="HY37" s="84" t="s">
        <v>149</v>
      </c>
      <c r="HZ37" s="84" t="str">
        <f t="shared" si="20"/>
        <v>Partial yes</v>
      </c>
      <c r="IA37" s="84" t="s">
        <v>150</v>
      </c>
      <c r="IB37" s="84" t="str">
        <f t="shared" si="41"/>
        <v>No</v>
      </c>
      <c r="IC37" s="84" t="s">
        <v>149</v>
      </c>
      <c r="ID37" s="84" t="str">
        <f t="shared" si="43"/>
        <v>Yes</v>
      </c>
      <c r="IE37" s="84" t="s">
        <v>832</v>
      </c>
      <c r="IF37" s="84" t="s">
        <v>832</v>
      </c>
      <c r="IG37" s="84" t="s">
        <v>832</v>
      </c>
      <c r="IH37" s="84" t="s">
        <v>832</v>
      </c>
      <c r="II37" s="84" t="s">
        <v>832</v>
      </c>
      <c r="IJ37" s="84" t="s">
        <v>149</v>
      </c>
      <c r="IK37" s="84" t="s">
        <v>149</v>
      </c>
      <c r="IL37" s="84" t="s">
        <v>149</v>
      </c>
      <c r="IM37" s="84" t="s">
        <v>149</v>
      </c>
      <c r="IN37" s="84" t="s">
        <v>149</v>
      </c>
      <c r="IP37" s="84" t="s">
        <v>150</v>
      </c>
      <c r="IR37" s="84" t="str">
        <f t="shared" si="46"/>
        <v>Partial yes</v>
      </c>
      <c r="IS37" s="84" t="s">
        <v>149</v>
      </c>
      <c r="IT37" s="84" t="s">
        <v>149</v>
      </c>
      <c r="IU37" s="84" t="s">
        <v>150</v>
      </c>
      <c r="IV37" s="84" t="str">
        <f t="shared" si="24"/>
        <v>Partial yes</v>
      </c>
      <c r="IW37" s="84" t="s">
        <v>149</v>
      </c>
      <c r="IX37" s="84" t="s">
        <v>149</v>
      </c>
      <c r="IY37" s="84" t="str">
        <f t="shared" si="25"/>
        <v>Yes</v>
      </c>
      <c r="IZ37" s="84" t="s">
        <v>149</v>
      </c>
      <c r="JA37" s="84" t="s">
        <v>149</v>
      </c>
      <c r="JB37" s="84" t="str">
        <f t="shared" si="26"/>
        <v>Yes</v>
      </c>
      <c r="JC37" s="84" t="s">
        <v>150</v>
      </c>
      <c r="JD37" s="84" t="s">
        <v>832</v>
      </c>
      <c r="JE37" s="84" t="str">
        <f t="shared" si="27"/>
        <v>No</v>
      </c>
      <c r="JF37" s="84" t="s">
        <v>149</v>
      </c>
      <c r="JG37" s="84" t="str">
        <f t="shared" si="54"/>
        <v>Yes</v>
      </c>
      <c r="JH37" s="51" t="s">
        <v>150</v>
      </c>
    </row>
    <row r="38" spans="1:268" s="84" customFormat="1" ht="16" x14ac:dyDescent="0.25">
      <c r="A38" s="83">
        <v>44</v>
      </c>
      <c r="B38" s="84" t="s">
        <v>456</v>
      </c>
      <c r="C38" s="84" t="s">
        <v>457</v>
      </c>
      <c r="D38" s="84" t="s">
        <v>707</v>
      </c>
      <c r="E38" s="85">
        <v>45517</v>
      </c>
      <c r="F38" s="84" t="s">
        <v>458</v>
      </c>
      <c r="G38" s="84" t="s">
        <v>149</v>
      </c>
      <c r="H38" s="84" t="s">
        <v>150</v>
      </c>
      <c r="I38" s="84" t="s">
        <v>614</v>
      </c>
      <c r="J38" s="84" t="s">
        <v>491</v>
      </c>
      <c r="K38" s="86" t="s">
        <v>622</v>
      </c>
      <c r="L38" s="84" t="s">
        <v>165</v>
      </c>
      <c r="M38" s="86" t="s">
        <v>640</v>
      </c>
      <c r="N38" s="84" t="s">
        <v>156</v>
      </c>
      <c r="O38" s="86" t="s">
        <v>641</v>
      </c>
      <c r="P38" s="84" t="s">
        <v>642</v>
      </c>
      <c r="Q38" s="84" t="s">
        <v>643</v>
      </c>
      <c r="R38" s="88"/>
      <c r="T38" s="88" t="s">
        <v>149</v>
      </c>
      <c r="U38" s="84" t="s">
        <v>150</v>
      </c>
      <c r="V38" s="84" t="s">
        <v>150</v>
      </c>
      <c r="W38" s="84" t="s">
        <v>150</v>
      </c>
      <c r="X38" s="84" t="s">
        <v>149</v>
      </c>
      <c r="Y38" s="84" t="s">
        <v>150</v>
      </c>
      <c r="Z38" s="84" t="s">
        <v>150</v>
      </c>
      <c r="AA38" s="89"/>
      <c r="AB38" s="84" t="s">
        <v>149</v>
      </c>
      <c r="AC38" s="84" t="s">
        <v>150</v>
      </c>
      <c r="AD38" s="84" t="s">
        <v>150</v>
      </c>
      <c r="AE38" s="84" t="s">
        <v>150</v>
      </c>
      <c r="AF38" s="89"/>
      <c r="AH38" s="90" t="s">
        <v>188</v>
      </c>
      <c r="AI38" s="146" t="s">
        <v>149</v>
      </c>
      <c r="AJ38" s="156" t="s">
        <v>149</v>
      </c>
      <c r="AK38" s="157" t="s">
        <v>644</v>
      </c>
      <c r="AL38" s="158">
        <v>44501</v>
      </c>
      <c r="AM38" s="84" t="s">
        <v>149</v>
      </c>
      <c r="AN38" s="85">
        <v>44491</v>
      </c>
      <c r="AO38" s="84" t="s">
        <v>149</v>
      </c>
      <c r="AP38" s="84" t="s">
        <v>623</v>
      </c>
      <c r="AQ38" s="86"/>
      <c r="AR38" s="91"/>
      <c r="AS38" s="84" t="s">
        <v>149</v>
      </c>
      <c r="AT38" s="84" t="s">
        <v>149</v>
      </c>
      <c r="AU38" s="84" t="s">
        <v>150</v>
      </c>
      <c r="AV38" s="84" t="s">
        <v>150</v>
      </c>
      <c r="AW38" s="84" t="s">
        <v>149</v>
      </c>
      <c r="AX38" s="84" t="s">
        <v>150</v>
      </c>
      <c r="AY38" s="92" t="s">
        <v>149</v>
      </c>
      <c r="AZ38" s="84" t="s">
        <v>149</v>
      </c>
      <c r="BA38" s="84" t="s">
        <v>150</v>
      </c>
      <c r="BB38" s="84" t="s">
        <v>150</v>
      </c>
      <c r="BC38" s="84" t="s">
        <v>150</v>
      </c>
      <c r="BD38" s="84" t="s">
        <v>150</v>
      </c>
      <c r="BE38" s="84" t="s">
        <v>149</v>
      </c>
      <c r="BF38" s="84" t="s">
        <v>150</v>
      </c>
      <c r="BG38" s="87" t="s">
        <v>149</v>
      </c>
      <c r="BH38" s="84" t="s">
        <v>149</v>
      </c>
      <c r="BI38" s="84" t="s">
        <v>149</v>
      </c>
      <c r="BJ38" s="86" t="s">
        <v>149</v>
      </c>
      <c r="BK38" s="84" t="s">
        <v>149</v>
      </c>
      <c r="BL38" s="84" t="s">
        <v>149</v>
      </c>
      <c r="BM38" s="87" t="s">
        <v>149</v>
      </c>
      <c r="BN38" s="84" t="s">
        <v>149</v>
      </c>
      <c r="BO38" s="84" t="s">
        <v>149</v>
      </c>
      <c r="BP38" s="84" t="s">
        <v>149</v>
      </c>
      <c r="BR38" s="84" t="s">
        <v>191</v>
      </c>
      <c r="BT38" s="87" t="s">
        <v>163</v>
      </c>
      <c r="BU38" s="84" t="s">
        <v>164</v>
      </c>
      <c r="BW38" s="92"/>
      <c r="BX38" s="86" t="s">
        <v>165</v>
      </c>
      <c r="BY38" s="84" t="s">
        <v>150</v>
      </c>
      <c r="BZ38" s="93" t="s">
        <v>605</v>
      </c>
      <c r="CA38" s="94">
        <f>2295+70</f>
        <v>2365</v>
      </c>
      <c r="CB38" s="92">
        <v>17</v>
      </c>
      <c r="CC38" s="84">
        <v>17</v>
      </c>
      <c r="CD38" s="95">
        <v>0</v>
      </c>
      <c r="CE38" s="85">
        <v>45219</v>
      </c>
      <c r="CF38" s="84" t="s">
        <v>150</v>
      </c>
      <c r="CH38" s="86"/>
      <c r="CI38" s="84" t="s">
        <v>149</v>
      </c>
      <c r="CJ38" s="92">
        <v>5</v>
      </c>
      <c r="CK38" s="84" t="s">
        <v>149</v>
      </c>
      <c r="CL38" s="92" t="s">
        <v>247</v>
      </c>
      <c r="CM38" s="92" t="s">
        <v>150</v>
      </c>
      <c r="CN38" s="96" t="s">
        <v>150</v>
      </c>
      <c r="CU38" s="97"/>
      <c r="CV38" s="87" t="s">
        <v>150</v>
      </c>
      <c r="CW38" s="97" t="s">
        <v>150</v>
      </c>
      <c r="CX38" s="97"/>
      <c r="DC38" s="97"/>
      <c r="DD38" s="87" t="s">
        <v>150</v>
      </c>
      <c r="DE38" s="97" t="s">
        <v>150</v>
      </c>
      <c r="DF38" s="97"/>
      <c r="DJ38" s="96"/>
      <c r="DK38" s="86"/>
      <c r="DL38" s="84" t="s">
        <v>150</v>
      </c>
      <c r="DM38" s="97" t="s">
        <v>150</v>
      </c>
      <c r="DN38" s="97"/>
      <c r="DS38" s="97"/>
      <c r="DT38" s="90" t="s">
        <v>150</v>
      </c>
      <c r="DU38" s="84" t="s">
        <v>150</v>
      </c>
      <c r="DW38" s="84" t="s">
        <v>150</v>
      </c>
      <c r="DY38" s="87" t="s">
        <v>150</v>
      </c>
      <c r="DZ38" s="84" t="s">
        <v>150</v>
      </c>
      <c r="EB38" s="86"/>
      <c r="EC38" s="87" t="s">
        <v>150</v>
      </c>
      <c r="ED38" s="97"/>
      <c r="EI38" s="96" t="s">
        <v>150</v>
      </c>
      <c r="EJ38" s="97"/>
      <c r="EN38" s="96"/>
      <c r="EO38" s="96"/>
      <c r="EP38" s="95"/>
      <c r="EQ38" s="126" t="s">
        <v>150</v>
      </c>
      <c r="ER38" s="136" t="s">
        <v>166</v>
      </c>
      <c r="ES38" s="103" t="s">
        <v>171</v>
      </c>
      <c r="ET38" s="103" t="s">
        <v>166</v>
      </c>
      <c r="EU38" s="102" t="s">
        <v>166</v>
      </c>
      <c r="EV38" s="137" t="s">
        <v>171</v>
      </c>
      <c r="EW38" s="146" t="str">
        <f t="shared" si="0"/>
        <v>High</v>
      </c>
      <c r="EX38" s="141"/>
      <c r="EY38" s="84" t="s">
        <v>149</v>
      </c>
      <c r="EZ38" s="84" t="s">
        <v>149</v>
      </c>
      <c r="FA38" s="84" t="s">
        <v>150</v>
      </c>
      <c r="FB38" s="86" t="str">
        <f t="shared" si="1"/>
        <v>Partial yes</v>
      </c>
      <c r="FC38" s="84" t="s">
        <v>149</v>
      </c>
      <c r="FD38" s="84" t="s">
        <v>149</v>
      </c>
      <c r="FE38" s="84" t="s">
        <v>149</v>
      </c>
      <c r="FF38" s="84" t="s">
        <v>150</v>
      </c>
      <c r="FG38" s="84" t="s">
        <v>150</v>
      </c>
      <c r="FH38" s="84" t="s">
        <v>150</v>
      </c>
      <c r="FI38" s="84" t="s">
        <v>150</v>
      </c>
      <c r="FJ38" s="84" t="s">
        <v>149</v>
      </c>
      <c r="FK38" s="84" t="s">
        <v>150</v>
      </c>
      <c r="FL38" s="84" t="s">
        <v>150</v>
      </c>
      <c r="FM38" s="84" t="s">
        <v>150</v>
      </c>
      <c r="FN38" s="84" t="s">
        <v>150</v>
      </c>
      <c r="FO38" s="84" t="str">
        <f t="shared" si="2"/>
        <v>Partial yes</v>
      </c>
      <c r="FP38" s="84" t="s">
        <v>149</v>
      </c>
      <c r="FQ38" s="84" t="s">
        <v>149</v>
      </c>
      <c r="FR38" s="84" t="s">
        <v>832</v>
      </c>
      <c r="FS38" s="84" t="str">
        <f t="shared" si="52"/>
        <v>Yes</v>
      </c>
      <c r="FT38" s="84" t="s">
        <v>149</v>
      </c>
      <c r="FU38" s="84" t="s">
        <v>832</v>
      </c>
      <c r="FV38" s="84" t="str">
        <f t="shared" si="53"/>
        <v>Yes</v>
      </c>
      <c r="FW38" s="84" t="str">
        <f t="shared" si="5"/>
        <v>Yes</v>
      </c>
      <c r="FX38" s="84" t="str">
        <f t="shared" si="29"/>
        <v>No</v>
      </c>
      <c r="FY38" s="84" t="str">
        <f t="shared" si="34"/>
        <v>No</v>
      </c>
      <c r="FZ38" s="84" t="str">
        <f t="shared" si="7"/>
        <v>Partial yes</v>
      </c>
      <c r="GA38" s="84" t="s">
        <v>149</v>
      </c>
      <c r="GB38" s="84" t="str">
        <f t="shared" si="44"/>
        <v>Yes</v>
      </c>
      <c r="GC38" s="84" t="s">
        <v>149</v>
      </c>
      <c r="GD38" s="84" t="str">
        <f t="shared" si="33"/>
        <v>Yes</v>
      </c>
      <c r="GE38" s="84" t="s">
        <v>149</v>
      </c>
      <c r="GF38" s="84" t="str">
        <f t="shared" si="31"/>
        <v>Yes</v>
      </c>
      <c r="GG38" s="84" t="s">
        <v>149</v>
      </c>
      <c r="GH38" s="84" t="str">
        <f t="shared" si="37"/>
        <v>Yes</v>
      </c>
      <c r="GI38" s="84" t="s">
        <v>149</v>
      </c>
      <c r="GJ38" s="84" t="s">
        <v>832</v>
      </c>
      <c r="GK38" s="84" t="str">
        <f t="shared" si="10"/>
        <v>Yes</v>
      </c>
      <c r="GL38" s="84" t="s">
        <v>149</v>
      </c>
      <c r="GM38" s="84" t="s">
        <v>149</v>
      </c>
      <c r="GN38" s="84" t="str">
        <f t="shared" si="36"/>
        <v>Yes</v>
      </c>
      <c r="GO38" s="84" t="s">
        <v>149</v>
      </c>
      <c r="GP38" s="84" t="s">
        <v>832</v>
      </c>
      <c r="GQ38" s="84" t="str">
        <f t="shared" si="47"/>
        <v>Yes</v>
      </c>
      <c r="GR38" s="84" t="s">
        <v>149</v>
      </c>
      <c r="GS38" s="84" t="str">
        <f t="shared" si="38"/>
        <v>Yes</v>
      </c>
      <c r="GT38" s="84" t="s">
        <v>149</v>
      </c>
      <c r="GU38" s="84" t="s">
        <v>149</v>
      </c>
      <c r="GV38" s="84" t="s">
        <v>149</v>
      </c>
      <c r="GW38" s="84" t="s">
        <v>149</v>
      </c>
      <c r="GX38" s="84" t="s">
        <v>150</v>
      </c>
      <c r="GY38" s="84" t="s">
        <v>150</v>
      </c>
      <c r="GZ38" s="84" t="s">
        <v>149</v>
      </c>
      <c r="HA38" s="84" t="str">
        <f t="shared" si="14"/>
        <v>Partial yes</v>
      </c>
      <c r="HB38" s="84" t="s">
        <v>149</v>
      </c>
      <c r="HC38" s="84" t="str">
        <f t="shared" si="42"/>
        <v>Yes</v>
      </c>
      <c r="HD38" s="84" t="s">
        <v>150</v>
      </c>
      <c r="HE38" s="84" t="str">
        <f t="shared" si="48"/>
        <v>No</v>
      </c>
      <c r="HF38" s="84" t="s">
        <v>832</v>
      </c>
      <c r="HG38" s="84" t="s">
        <v>832</v>
      </c>
      <c r="HH38" s="84" t="s">
        <v>832</v>
      </c>
      <c r="HI38" s="84" t="s">
        <v>832</v>
      </c>
      <c r="HJ38" s="84" t="s">
        <v>149</v>
      </c>
      <c r="HK38" s="84" t="s">
        <v>832</v>
      </c>
      <c r="HL38" s="84" t="s">
        <v>832</v>
      </c>
      <c r="HM38" s="84" t="s">
        <v>149</v>
      </c>
      <c r="HN38" s="84" t="str">
        <f t="shared" si="49"/>
        <v>Yes</v>
      </c>
      <c r="HO38" s="84" t="s">
        <v>149</v>
      </c>
      <c r="HP38" s="84" t="str">
        <f t="shared" si="50"/>
        <v>Yes</v>
      </c>
      <c r="HQ38" s="84" t="s">
        <v>149</v>
      </c>
      <c r="HR38" s="84" t="str">
        <f t="shared" si="51"/>
        <v>Yes</v>
      </c>
      <c r="HS38" s="84" t="s">
        <v>149</v>
      </c>
      <c r="HT38" s="84" t="str">
        <f t="shared" si="45"/>
        <v>Yes</v>
      </c>
      <c r="HU38" s="84" t="s">
        <v>149</v>
      </c>
      <c r="HV38" s="84" t="s">
        <v>149</v>
      </c>
      <c r="HW38" s="100" t="s">
        <v>832</v>
      </c>
      <c r="HX38" s="84" t="s">
        <v>149</v>
      </c>
      <c r="HY38" s="84" t="s">
        <v>149</v>
      </c>
      <c r="HZ38" s="84" t="str">
        <f t="shared" si="20"/>
        <v>Partial yes</v>
      </c>
      <c r="IA38" s="84" t="s">
        <v>149</v>
      </c>
      <c r="IB38" s="84" t="str">
        <f t="shared" si="41"/>
        <v>Yes</v>
      </c>
      <c r="IC38" s="84" t="s">
        <v>150</v>
      </c>
      <c r="ID38" s="84" t="str">
        <f t="shared" si="43"/>
        <v>No</v>
      </c>
      <c r="IE38" s="84" t="s">
        <v>832</v>
      </c>
      <c r="IF38" s="84" t="s">
        <v>832</v>
      </c>
      <c r="IG38" s="84" t="s">
        <v>832</v>
      </c>
      <c r="IH38" s="84" t="s">
        <v>832</v>
      </c>
      <c r="II38" s="84" t="s">
        <v>832</v>
      </c>
      <c r="IJ38" s="84" t="s">
        <v>149</v>
      </c>
      <c r="IK38" s="84" t="s">
        <v>149</v>
      </c>
      <c r="IL38" s="84" t="s">
        <v>149</v>
      </c>
      <c r="IM38" s="84" t="s">
        <v>150</v>
      </c>
      <c r="IN38" s="84" t="s">
        <v>149</v>
      </c>
      <c r="IP38" s="84" t="s">
        <v>150</v>
      </c>
      <c r="IR38" s="84" t="str">
        <f t="shared" si="46"/>
        <v>Partial yes</v>
      </c>
      <c r="IS38" s="84" t="s">
        <v>149</v>
      </c>
      <c r="IT38" s="84" t="s">
        <v>149</v>
      </c>
      <c r="IU38" s="84" t="s">
        <v>150</v>
      </c>
      <c r="IV38" s="84" t="str">
        <f t="shared" si="24"/>
        <v>Partial yes</v>
      </c>
      <c r="IW38" s="84" t="s">
        <v>149</v>
      </c>
      <c r="IX38" s="84" t="s">
        <v>149</v>
      </c>
      <c r="IY38" s="84" t="str">
        <f t="shared" si="25"/>
        <v>Yes</v>
      </c>
      <c r="IZ38" s="84" t="s">
        <v>149</v>
      </c>
      <c r="JA38" s="84" t="s">
        <v>149</v>
      </c>
      <c r="JB38" s="84" t="str">
        <f t="shared" si="26"/>
        <v>Yes</v>
      </c>
      <c r="JC38" s="84" t="s">
        <v>150</v>
      </c>
      <c r="JD38" s="84" t="s">
        <v>832</v>
      </c>
      <c r="JE38" s="84" t="str">
        <f t="shared" si="27"/>
        <v>No</v>
      </c>
      <c r="JF38" s="84" t="s">
        <v>149</v>
      </c>
      <c r="JG38" s="84" t="str">
        <f t="shared" si="54"/>
        <v>Yes</v>
      </c>
      <c r="JH38" s="51" t="s">
        <v>150</v>
      </c>
    </row>
    <row r="39" spans="1:268" s="84" customFormat="1" ht="16" x14ac:dyDescent="0.25">
      <c r="A39" s="83">
        <v>45</v>
      </c>
      <c r="B39" s="84" t="s">
        <v>459</v>
      </c>
      <c r="C39" s="84" t="s">
        <v>460</v>
      </c>
      <c r="D39" s="84" t="s">
        <v>708</v>
      </c>
      <c r="E39" s="85">
        <v>45523</v>
      </c>
      <c r="F39" s="84" t="s">
        <v>461</v>
      </c>
      <c r="G39" s="84" t="s">
        <v>149</v>
      </c>
      <c r="H39" s="84" t="s">
        <v>150</v>
      </c>
      <c r="I39" s="84" t="s">
        <v>264</v>
      </c>
      <c r="J39" s="84" t="s">
        <v>645</v>
      </c>
      <c r="K39" s="86" t="s">
        <v>646</v>
      </c>
      <c r="L39" s="84" t="s">
        <v>154</v>
      </c>
      <c r="M39" s="86" t="s">
        <v>647</v>
      </c>
      <c r="N39" s="84" t="s">
        <v>348</v>
      </c>
      <c r="O39" s="86" t="s">
        <v>648</v>
      </c>
      <c r="P39" s="84" t="s">
        <v>158</v>
      </c>
      <c r="Q39" s="84" t="s">
        <v>649</v>
      </c>
      <c r="R39" s="88"/>
      <c r="T39" s="88" t="s">
        <v>149</v>
      </c>
      <c r="U39" s="84" t="s">
        <v>150</v>
      </c>
      <c r="V39" s="84" t="s">
        <v>150</v>
      </c>
      <c r="W39" s="84" t="s">
        <v>149</v>
      </c>
      <c r="X39" s="84" t="s">
        <v>150</v>
      </c>
      <c r="Y39" s="84" t="s">
        <v>150</v>
      </c>
      <c r="Z39" s="84" t="s">
        <v>150</v>
      </c>
      <c r="AA39" s="89"/>
      <c r="AB39" s="84" t="s">
        <v>150</v>
      </c>
      <c r="AC39" s="84" t="s">
        <v>149</v>
      </c>
      <c r="AD39" s="84" t="s">
        <v>150</v>
      </c>
      <c r="AE39" s="84" t="s">
        <v>150</v>
      </c>
      <c r="AF39" s="89"/>
      <c r="AH39" s="90" t="s">
        <v>160</v>
      </c>
      <c r="AI39" s="146" t="s">
        <v>150</v>
      </c>
      <c r="AJ39" s="87" t="s">
        <v>150</v>
      </c>
      <c r="AL39" s="92"/>
      <c r="AM39" s="84" t="s">
        <v>149</v>
      </c>
      <c r="AN39" s="85">
        <v>43633</v>
      </c>
      <c r="AO39" s="84" t="s">
        <v>149</v>
      </c>
      <c r="AP39" s="84" t="s">
        <v>624</v>
      </c>
      <c r="AR39" s="91"/>
      <c r="AS39" s="84" t="s">
        <v>149</v>
      </c>
      <c r="AT39" s="84" t="s">
        <v>149</v>
      </c>
      <c r="AU39" s="84" t="s">
        <v>149</v>
      </c>
      <c r="AV39" s="84" t="s">
        <v>150</v>
      </c>
      <c r="AW39" s="84" t="s">
        <v>150</v>
      </c>
      <c r="AX39" s="84" t="s">
        <v>150</v>
      </c>
      <c r="AY39" s="92" t="s">
        <v>149</v>
      </c>
      <c r="AZ39" s="84" t="s">
        <v>149</v>
      </c>
      <c r="BA39" s="84" t="s">
        <v>150</v>
      </c>
      <c r="BB39" s="84" t="s">
        <v>150</v>
      </c>
      <c r="BC39" s="84" t="s">
        <v>150</v>
      </c>
      <c r="BD39" s="84" t="s">
        <v>150</v>
      </c>
      <c r="BE39" s="84" t="s">
        <v>149</v>
      </c>
      <c r="BF39" s="84" t="s">
        <v>150</v>
      </c>
      <c r="BG39" s="87" t="s">
        <v>149</v>
      </c>
      <c r="BH39" s="84" t="s">
        <v>149</v>
      </c>
      <c r="BI39" s="84" t="s">
        <v>149</v>
      </c>
      <c r="BJ39" s="86" t="s">
        <v>149</v>
      </c>
      <c r="BK39" s="84" t="s">
        <v>150</v>
      </c>
      <c r="BL39" s="84" t="s">
        <v>149</v>
      </c>
      <c r="BM39" s="87" t="s">
        <v>149</v>
      </c>
      <c r="BN39" s="84" t="s">
        <v>150</v>
      </c>
      <c r="BO39" s="84" t="s">
        <v>149</v>
      </c>
      <c r="BP39" s="84" t="s">
        <v>150</v>
      </c>
      <c r="BR39" s="84" t="s">
        <v>191</v>
      </c>
      <c r="BT39" s="87" t="s">
        <v>163</v>
      </c>
      <c r="BU39" s="84" t="s">
        <v>164</v>
      </c>
      <c r="BW39" s="92"/>
      <c r="BX39" s="86" t="s">
        <v>165</v>
      </c>
      <c r="BY39" s="84" t="s">
        <v>149</v>
      </c>
      <c r="BZ39" s="93" t="s">
        <v>605</v>
      </c>
      <c r="CA39" s="94">
        <v>27771</v>
      </c>
      <c r="CB39" s="92">
        <v>14</v>
      </c>
      <c r="CC39" s="84">
        <v>14</v>
      </c>
      <c r="CD39" s="95">
        <v>0</v>
      </c>
      <c r="CE39" s="85">
        <v>45125</v>
      </c>
      <c r="CF39" s="84" t="s">
        <v>150</v>
      </c>
      <c r="CH39" s="86"/>
      <c r="CI39" s="84" t="s">
        <v>150</v>
      </c>
      <c r="CJ39" s="92"/>
      <c r="CK39" s="84" t="s">
        <v>150</v>
      </c>
      <c r="CL39" s="92"/>
      <c r="CM39" s="92" t="s">
        <v>150</v>
      </c>
      <c r="CN39" s="96" t="s">
        <v>150</v>
      </c>
      <c r="CU39" s="97"/>
      <c r="CV39" s="87" t="s">
        <v>150</v>
      </c>
      <c r="CW39" s="97" t="s">
        <v>150</v>
      </c>
      <c r="CX39" s="97"/>
      <c r="DC39" s="97"/>
      <c r="DD39" s="87" t="s">
        <v>150</v>
      </c>
      <c r="DE39" s="97" t="s">
        <v>150</v>
      </c>
      <c r="DF39" s="97"/>
      <c r="DJ39" s="96"/>
      <c r="DK39" s="86"/>
      <c r="DL39" s="84" t="s">
        <v>150</v>
      </c>
      <c r="DM39" s="97" t="s">
        <v>150</v>
      </c>
      <c r="DN39" s="97"/>
      <c r="DS39" s="97"/>
      <c r="DT39" s="90" t="s">
        <v>150</v>
      </c>
      <c r="DU39" s="84" t="s">
        <v>150</v>
      </c>
      <c r="DW39" s="84" t="s">
        <v>150</v>
      </c>
      <c r="DY39" s="87" t="s">
        <v>150</v>
      </c>
      <c r="DZ39" s="84" t="s">
        <v>591</v>
      </c>
      <c r="EA39" s="84" t="s">
        <v>723</v>
      </c>
      <c r="EB39" s="86" t="s">
        <v>836</v>
      </c>
      <c r="EC39" s="87" t="s">
        <v>150</v>
      </c>
      <c r="ED39" s="97"/>
      <c r="EI39" s="96" t="s">
        <v>150</v>
      </c>
      <c r="EJ39" s="97"/>
      <c r="EN39" s="96"/>
      <c r="EO39" s="96"/>
      <c r="EP39" s="95"/>
      <c r="EQ39" s="126" t="s">
        <v>150</v>
      </c>
      <c r="ER39" s="136" t="s">
        <v>166</v>
      </c>
      <c r="ES39" s="103" t="s">
        <v>171</v>
      </c>
      <c r="ET39" s="103" t="s">
        <v>171</v>
      </c>
      <c r="EU39" s="102" t="s">
        <v>166</v>
      </c>
      <c r="EV39" s="137" t="s">
        <v>171</v>
      </c>
      <c r="EW39" s="146" t="str">
        <f t="shared" si="0"/>
        <v>High</v>
      </c>
      <c r="EX39" s="141"/>
      <c r="EY39" s="84" t="s">
        <v>149</v>
      </c>
      <c r="EZ39" s="84" t="s">
        <v>150</v>
      </c>
      <c r="FA39" s="84" t="s">
        <v>150</v>
      </c>
      <c r="FB39" s="86" t="str">
        <f t="shared" si="1"/>
        <v>Partial yes</v>
      </c>
      <c r="FC39" s="84" t="s">
        <v>149</v>
      </c>
      <c r="FD39" s="84" t="s">
        <v>149</v>
      </c>
      <c r="FE39" s="84" t="s">
        <v>149</v>
      </c>
      <c r="FF39" s="84" t="s">
        <v>149</v>
      </c>
      <c r="FG39" s="84" t="s">
        <v>149</v>
      </c>
      <c r="FH39" s="84" t="s">
        <v>150</v>
      </c>
      <c r="FI39" s="84" t="s">
        <v>149</v>
      </c>
      <c r="FJ39" s="84" t="s">
        <v>149</v>
      </c>
      <c r="FK39" s="84" t="s">
        <v>150</v>
      </c>
      <c r="FL39" s="84" t="s">
        <v>149</v>
      </c>
      <c r="FM39" s="84" t="s">
        <v>150</v>
      </c>
      <c r="FN39" s="84" t="s">
        <v>150</v>
      </c>
      <c r="FO39" s="84" t="str">
        <f t="shared" si="2"/>
        <v>Partial yes</v>
      </c>
      <c r="FP39" s="84" t="s">
        <v>149</v>
      </c>
      <c r="FQ39" s="84" t="s">
        <v>150</v>
      </c>
      <c r="FR39" s="84" t="s">
        <v>832</v>
      </c>
      <c r="FS39" s="84" t="str">
        <f t="shared" si="52"/>
        <v>Partial yes</v>
      </c>
      <c r="FT39" s="84" t="s">
        <v>149</v>
      </c>
      <c r="FU39" s="84" t="s">
        <v>832</v>
      </c>
      <c r="FV39" s="84" t="str">
        <f t="shared" si="53"/>
        <v>Yes</v>
      </c>
      <c r="FW39" s="84" t="str">
        <f t="shared" si="5"/>
        <v>No</v>
      </c>
      <c r="FX39" s="84" t="str">
        <f t="shared" si="29"/>
        <v>No</v>
      </c>
      <c r="FY39" s="84" t="str">
        <f t="shared" si="34"/>
        <v>No</v>
      </c>
      <c r="FZ39" s="84" t="str">
        <f t="shared" si="7"/>
        <v>No</v>
      </c>
      <c r="GA39" s="84" t="s">
        <v>149</v>
      </c>
      <c r="GB39" s="84" t="str">
        <f t="shared" si="44"/>
        <v>Yes</v>
      </c>
      <c r="GC39" s="84" t="s">
        <v>149</v>
      </c>
      <c r="GD39" s="84" t="str">
        <f t="shared" si="33"/>
        <v>Yes</v>
      </c>
      <c r="GE39" s="84" t="s">
        <v>150</v>
      </c>
      <c r="GF39" s="84" t="str">
        <f t="shared" si="31"/>
        <v>No</v>
      </c>
      <c r="GG39" s="84" t="s">
        <v>149</v>
      </c>
      <c r="GH39" s="84" t="str">
        <f t="shared" si="37"/>
        <v>Yes</v>
      </c>
      <c r="GI39" s="84" t="s">
        <v>149</v>
      </c>
      <c r="GJ39" s="84" t="s">
        <v>832</v>
      </c>
      <c r="GK39" s="84" t="str">
        <f t="shared" si="10"/>
        <v>Yes</v>
      </c>
      <c r="GL39" s="84" t="s">
        <v>150</v>
      </c>
      <c r="GM39" s="84" t="s">
        <v>150</v>
      </c>
      <c r="GN39" s="84" t="str">
        <f t="shared" si="36"/>
        <v>No</v>
      </c>
      <c r="GO39" s="84" t="s">
        <v>149</v>
      </c>
      <c r="GP39" s="84" t="s">
        <v>832</v>
      </c>
      <c r="GQ39" s="84" t="str">
        <f t="shared" si="47"/>
        <v>Yes</v>
      </c>
      <c r="GR39" s="84" t="s">
        <v>150</v>
      </c>
      <c r="GS39" s="84" t="s">
        <v>150</v>
      </c>
      <c r="GT39" s="84" t="s">
        <v>149</v>
      </c>
      <c r="GU39" s="84" t="s">
        <v>149</v>
      </c>
      <c r="GV39" s="84" t="s">
        <v>149</v>
      </c>
      <c r="GW39" s="84" t="s">
        <v>149</v>
      </c>
      <c r="GX39" s="84" t="s">
        <v>150</v>
      </c>
      <c r="GY39" s="84" t="s">
        <v>149</v>
      </c>
      <c r="GZ39" s="84" t="s">
        <v>150</v>
      </c>
      <c r="HA39" s="84" t="str">
        <f t="shared" si="14"/>
        <v>Partial yes</v>
      </c>
      <c r="HB39" s="84" t="s">
        <v>149</v>
      </c>
      <c r="HC39" s="84" t="str">
        <f t="shared" si="42"/>
        <v>Yes</v>
      </c>
      <c r="HD39" s="84" t="s">
        <v>149</v>
      </c>
      <c r="HE39" s="84" t="str">
        <f t="shared" si="48"/>
        <v>Yes</v>
      </c>
      <c r="HF39" s="84" t="s">
        <v>832</v>
      </c>
      <c r="HG39" s="84" t="s">
        <v>832</v>
      </c>
      <c r="HH39" s="84" t="s">
        <v>832</v>
      </c>
      <c r="HI39" s="84" t="s">
        <v>832</v>
      </c>
      <c r="HJ39" s="84" t="s">
        <v>149</v>
      </c>
      <c r="HK39" s="84" t="s">
        <v>832</v>
      </c>
      <c r="HL39" s="84" t="s">
        <v>832</v>
      </c>
      <c r="HM39" s="84" t="s">
        <v>149</v>
      </c>
      <c r="HN39" s="84" t="str">
        <f t="shared" si="49"/>
        <v>Yes</v>
      </c>
      <c r="HO39" s="84" t="s">
        <v>149</v>
      </c>
      <c r="HP39" s="84" t="str">
        <f t="shared" si="50"/>
        <v>Yes</v>
      </c>
      <c r="HQ39" s="84" t="s">
        <v>149</v>
      </c>
      <c r="HR39" s="84" t="str">
        <f t="shared" si="51"/>
        <v>Yes</v>
      </c>
      <c r="HS39" s="84" t="s">
        <v>149</v>
      </c>
      <c r="HT39" s="84" t="str">
        <f t="shared" si="45"/>
        <v>Yes</v>
      </c>
      <c r="HU39" s="84" t="s">
        <v>149</v>
      </c>
      <c r="HV39" s="84" t="s">
        <v>149</v>
      </c>
      <c r="HW39" s="100" t="s">
        <v>832</v>
      </c>
      <c r="HX39" s="84" t="s">
        <v>149</v>
      </c>
      <c r="HY39" s="84" t="s">
        <v>150</v>
      </c>
      <c r="HZ39" s="84" t="str">
        <f t="shared" si="20"/>
        <v>Partial yes</v>
      </c>
      <c r="IA39" s="84" t="s">
        <v>149</v>
      </c>
      <c r="IB39" s="84" t="str">
        <f t="shared" si="41"/>
        <v>Yes</v>
      </c>
      <c r="IC39" s="84" t="s">
        <v>149</v>
      </c>
      <c r="ID39" s="84" t="str">
        <f t="shared" si="43"/>
        <v>Yes</v>
      </c>
      <c r="IE39" s="84" t="s">
        <v>832</v>
      </c>
      <c r="IF39" s="84" t="s">
        <v>832</v>
      </c>
      <c r="IG39" s="84" t="s">
        <v>832</v>
      </c>
      <c r="IH39" s="84" t="s">
        <v>832</v>
      </c>
      <c r="II39" s="84" t="s">
        <v>832</v>
      </c>
      <c r="IJ39" s="84" t="s">
        <v>149</v>
      </c>
      <c r="IK39" s="84" t="s">
        <v>149</v>
      </c>
      <c r="IL39" s="84" t="s">
        <v>149</v>
      </c>
      <c r="IM39" s="84" t="s">
        <v>150</v>
      </c>
      <c r="IN39" s="84" t="s">
        <v>149</v>
      </c>
      <c r="IP39" s="84" t="s">
        <v>150</v>
      </c>
      <c r="IR39" s="84" t="str">
        <f t="shared" si="46"/>
        <v>Partial yes</v>
      </c>
      <c r="IS39" s="84" t="s">
        <v>149</v>
      </c>
      <c r="IT39" s="84" t="s">
        <v>149</v>
      </c>
      <c r="IU39" s="84" t="s">
        <v>149</v>
      </c>
      <c r="IV39" s="84" t="str">
        <f t="shared" si="24"/>
        <v>Yes</v>
      </c>
      <c r="IW39" s="84" t="s">
        <v>149</v>
      </c>
      <c r="IX39" s="84" t="s">
        <v>149</v>
      </c>
      <c r="IY39" s="84" t="str">
        <f t="shared" si="25"/>
        <v>Yes</v>
      </c>
      <c r="IZ39" s="84" t="s">
        <v>149</v>
      </c>
      <c r="JA39" s="84" t="s">
        <v>149</v>
      </c>
      <c r="JB39" s="84" t="str">
        <f t="shared" si="26"/>
        <v>Yes</v>
      </c>
      <c r="JC39" s="84" t="s">
        <v>149</v>
      </c>
      <c r="JD39" s="84" t="s">
        <v>832</v>
      </c>
      <c r="JE39" s="84" t="str">
        <f t="shared" si="27"/>
        <v>Yes</v>
      </c>
      <c r="JF39" s="84" t="s">
        <v>149</v>
      </c>
      <c r="JG39" s="84" t="str">
        <f t="shared" si="54"/>
        <v>Yes</v>
      </c>
      <c r="JH39" s="51" t="s">
        <v>150</v>
      </c>
    </row>
    <row r="40" spans="1:268" s="84" customFormat="1" ht="16" x14ac:dyDescent="0.25">
      <c r="A40" s="83">
        <v>46</v>
      </c>
      <c r="B40" s="84" t="s">
        <v>462</v>
      </c>
      <c r="C40" s="84" t="s">
        <v>463</v>
      </c>
      <c r="D40" s="84" t="s">
        <v>464</v>
      </c>
      <c r="E40" s="85">
        <v>45488</v>
      </c>
      <c r="F40" s="84" t="s">
        <v>465</v>
      </c>
      <c r="G40" s="84" t="s">
        <v>149</v>
      </c>
      <c r="H40" s="84" t="s">
        <v>150</v>
      </c>
      <c r="I40" s="84" t="s">
        <v>625</v>
      </c>
      <c r="J40" s="84" t="s">
        <v>202</v>
      </c>
      <c r="K40" s="86" t="s">
        <v>203</v>
      </c>
      <c r="L40" s="84" t="s">
        <v>154</v>
      </c>
      <c r="M40" s="86" t="s">
        <v>518</v>
      </c>
      <c r="N40" s="84" t="s">
        <v>156</v>
      </c>
      <c r="O40" s="86" t="s">
        <v>650</v>
      </c>
      <c r="P40" s="84" t="s">
        <v>185</v>
      </c>
      <c r="Q40" s="84" t="s">
        <v>651</v>
      </c>
      <c r="R40" s="88">
        <v>6</v>
      </c>
      <c r="S40" s="84" t="s">
        <v>652</v>
      </c>
      <c r="T40" s="88" t="s">
        <v>149</v>
      </c>
      <c r="U40" s="84" t="s">
        <v>149</v>
      </c>
      <c r="V40" s="84" t="s">
        <v>149</v>
      </c>
      <c r="W40" s="84" t="s">
        <v>150</v>
      </c>
      <c r="X40" s="84" t="s">
        <v>149</v>
      </c>
      <c r="Y40" s="84" t="s">
        <v>150</v>
      </c>
      <c r="Z40" s="84" t="s">
        <v>150</v>
      </c>
      <c r="AA40" s="89"/>
      <c r="AB40" s="84" t="s">
        <v>149</v>
      </c>
      <c r="AC40" s="84" t="s">
        <v>149</v>
      </c>
      <c r="AD40" s="84" t="s">
        <v>150</v>
      </c>
      <c r="AE40" s="84" t="s">
        <v>150</v>
      </c>
      <c r="AF40" s="89"/>
      <c r="AH40" s="90" t="s">
        <v>242</v>
      </c>
      <c r="AI40" s="146" t="s">
        <v>150</v>
      </c>
      <c r="AJ40" s="156" t="s">
        <v>149</v>
      </c>
      <c r="AK40" s="157" t="s">
        <v>626</v>
      </c>
      <c r="AL40" s="158">
        <v>44988</v>
      </c>
      <c r="AM40" s="84" t="s">
        <v>149</v>
      </c>
      <c r="AN40" s="85">
        <v>44462</v>
      </c>
      <c r="AO40" s="84" t="s">
        <v>149</v>
      </c>
      <c r="AP40" s="84" t="s">
        <v>627</v>
      </c>
      <c r="AQ40" s="86"/>
      <c r="AR40" s="91"/>
      <c r="AS40" s="84" t="s">
        <v>149</v>
      </c>
      <c r="AT40" s="84" t="s">
        <v>149</v>
      </c>
      <c r="AU40" s="84" t="s">
        <v>149</v>
      </c>
      <c r="AV40" s="84" t="s">
        <v>150</v>
      </c>
      <c r="AW40" s="84" t="s">
        <v>150</v>
      </c>
      <c r="AX40" s="84" t="s">
        <v>149</v>
      </c>
      <c r="AY40" s="92" t="s">
        <v>149</v>
      </c>
      <c r="AZ40" s="84" t="s">
        <v>149</v>
      </c>
      <c r="BA40" s="84" t="s">
        <v>150</v>
      </c>
      <c r="BB40" s="84" t="s">
        <v>150</v>
      </c>
      <c r="BC40" s="84" t="s">
        <v>150</v>
      </c>
      <c r="BD40" s="84" t="s">
        <v>150</v>
      </c>
      <c r="BE40" s="84" t="s">
        <v>149</v>
      </c>
      <c r="BF40" s="84" t="s">
        <v>149</v>
      </c>
      <c r="BG40" s="87" t="s">
        <v>149</v>
      </c>
      <c r="BH40" s="84" t="s">
        <v>149</v>
      </c>
      <c r="BI40" s="84" t="s">
        <v>149</v>
      </c>
      <c r="BJ40" s="86" t="s">
        <v>149</v>
      </c>
      <c r="BK40" s="84" t="s">
        <v>149</v>
      </c>
      <c r="BL40" s="84" t="s">
        <v>149</v>
      </c>
      <c r="BM40" s="87" t="s">
        <v>149</v>
      </c>
      <c r="BN40" s="84" t="s">
        <v>149</v>
      </c>
      <c r="BO40" s="84" t="s">
        <v>150</v>
      </c>
      <c r="BQ40" s="84" t="s">
        <v>721</v>
      </c>
      <c r="BR40" s="84" t="s">
        <v>150</v>
      </c>
      <c r="BS40" s="84" t="s">
        <v>628</v>
      </c>
      <c r="BT40" s="87" t="s">
        <v>163</v>
      </c>
      <c r="BU40" s="84" t="s">
        <v>164</v>
      </c>
      <c r="BW40" s="92"/>
      <c r="BX40" s="86" t="s">
        <v>165</v>
      </c>
      <c r="BY40" s="84" t="s">
        <v>149</v>
      </c>
      <c r="BZ40" s="93" t="s">
        <v>605</v>
      </c>
      <c r="CA40" s="94">
        <v>3052</v>
      </c>
      <c r="CB40" s="92">
        <v>177</v>
      </c>
      <c r="CC40" s="84">
        <v>1</v>
      </c>
      <c r="CD40" s="95">
        <v>176</v>
      </c>
      <c r="CE40" s="85">
        <v>45200</v>
      </c>
      <c r="CF40" s="84" t="s">
        <v>150</v>
      </c>
      <c r="CH40" s="86"/>
      <c r="CI40" s="84" t="s">
        <v>150</v>
      </c>
      <c r="CJ40" s="92"/>
      <c r="CK40" s="84" t="s">
        <v>149</v>
      </c>
      <c r="CL40" s="92" t="s">
        <v>221</v>
      </c>
      <c r="CM40" s="92" t="s">
        <v>150</v>
      </c>
      <c r="CN40" s="96" t="s">
        <v>150</v>
      </c>
      <c r="CU40" s="97"/>
      <c r="CV40" s="87" t="s">
        <v>150</v>
      </c>
      <c r="CW40" s="97" t="s">
        <v>150</v>
      </c>
      <c r="CX40" s="97"/>
      <c r="DC40" s="97"/>
      <c r="DD40" s="87" t="s">
        <v>150</v>
      </c>
      <c r="DE40" s="97" t="s">
        <v>150</v>
      </c>
      <c r="DF40" s="97"/>
      <c r="DJ40" s="96"/>
      <c r="DK40" s="86"/>
      <c r="DL40" s="84" t="s">
        <v>150</v>
      </c>
      <c r="DM40" s="97" t="s">
        <v>150</v>
      </c>
      <c r="DN40" s="97"/>
      <c r="DS40" s="97"/>
      <c r="DT40" s="90" t="s">
        <v>150</v>
      </c>
      <c r="DU40" s="84" t="s">
        <v>150</v>
      </c>
      <c r="DW40" s="84" t="s">
        <v>150</v>
      </c>
      <c r="DY40" s="87" t="s">
        <v>150</v>
      </c>
      <c r="DZ40" s="84" t="s">
        <v>188</v>
      </c>
      <c r="EB40" s="86"/>
      <c r="EC40" s="87" t="s">
        <v>149</v>
      </c>
      <c r="ED40" s="97" t="s">
        <v>149</v>
      </c>
      <c r="EE40" s="84" t="s">
        <v>653</v>
      </c>
      <c r="EF40" s="84" t="s">
        <v>150</v>
      </c>
      <c r="EG40" s="84" t="s">
        <v>150</v>
      </c>
      <c r="EI40" s="96" t="s">
        <v>150</v>
      </c>
      <c r="EJ40" s="97"/>
      <c r="EN40" s="96"/>
      <c r="EO40" s="96"/>
      <c r="EP40" s="95"/>
      <c r="EQ40" s="126" t="s">
        <v>149</v>
      </c>
      <c r="ER40" s="136" t="s">
        <v>166</v>
      </c>
      <c r="ES40" s="103" t="s">
        <v>171</v>
      </c>
      <c r="ET40" s="103" t="s">
        <v>171</v>
      </c>
      <c r="EU40" s="102" t="s">
        <v>171</v>
      </c>
      <c r="EV40" s="137" t="s">
        <v>171</v>
      </c>
      <c r="EW40" s="146" t="str">
        <f t="shared" si="0"/>
        <v>High</v>
      </c>
      <c r="EX40" s="141"/>
      <c r="EY40" s="84" t="s">
        <v>149</v>
      </c>
      <c r="EZ40" s="84" t="s">
        <v>149</v>
      </c>
      <c r="FA40" s="84" t="s">
        <v>150</v>
      </c>
      <c r="FB40" s="86" t="str">
        <f t="shared" si="1"/>
        <v>Partial yes</v>
      </c>
      <c r="FC40" s="84" t="s">
        <v>149</v>
      </c>
      <c r="FD40" s="84" t="s">
        <v>149</v>
      </c>
      <c r="FE40" s="84" t="s">
        <v>149</v>
      </c>
      <c r="FF40" s="84" t="s">
        <v>150</v>
      </c>
      <c r="FG40" s="84" t="s">
        <v>150</v>
      </c>
      <c r="FH40" s="84" t="s">
        <v>149</v>
      </c>
      <c r="FI40" s="84" t="s">
        <v>149</v>
      </c>
      <c r="FJ40" s="84" t="s">
        <v>149</v>
      </c>
      <c r="FK40" s="84" t="s">
        <v>149</v>
      </c>
      <c r="FL40" s="84" t="s">
        <v>149</v>
      </c>
      <c r="FM40" s="84" t="s">
        <v>150</v>
      </c>
      <c r="FN40" s="84" t="s">
        <v>149</v>
      </c>
      <c r="FO40" s="84" t="str">
        <f t="shared" si="2"/>
        <v>Partial yes</v>
      </c>
      <c r="FP40" s="84" t="s">
        <v>149</v>
      </c>
      <c r="FQ40" s="84" t="s">
        <v>149</v>
      </c>
      <c r="FR40" s="84" t="s">
        <v>832</v>
      </c>
      <c r="FS40" s="84" t="str">
        <f t="shared" si="52"/>
        <v>Yes</v>
      </c>
      <c r="FT40" s="84" t="s">
        <v>149</v>
      </c>
      <c r="FU40" s="84" t="s">
        <v>832</v>
      </c>
      <c r="FV40" s="84" t="str">
        <f t="shared" si="53"/>
        <v>Yes</v>
      </c>
      <c r="FW40" s="84" t="str">
        <f t="shared" si="5"/>
        <v>Yes</v>
      </c>
      <c r="FX40" s="84" t="str">
        <f t="shared" si="29"/>
        <v>No</v>
      </c>
      <c r="FY40" s="84" t="str">
        <f t="shared" si="34"/>
        <v>No</v>
      </c>
      <c r="FZ40" s="84" t="str">
        <f t="shared" si="7"/>
        <v>Partial yes</v>
      </c>
      <c r="GA40" s="84" t="s">
        <v>149</v>
      </c>
      <c r="GB40" s="84" t="str">
        <f t="shared" si="44"/>
        <v>Yes</v>
      </c>
      <c r="GC40" s="84" t="s">
        <v>149</v>
      </c>
      <c r="GD40" s="84" t="str">
        <f t="shared" si="33"/>
        <v>Yes</v>
      </c>
      <c r="GE40" s="84" t="s">
        <v>149</v>
      </c>
      <c r="GF40" s="84" t="str">
        <f t="shared" si="31"/>
        <v>Yes</v>
      </c>
      <c r="GG40" s="84" t="s">
        <v>149</v>
      </c>
      <c r="GH40" s="84" t="str">
        <f t="shared" si="37"/>
        <v>Yes</v>
      </c>
      <c r="GI40" s="84" t="s">
        <v>149</v>
      </c>
      <c r="GJ40" s="84" t="s">
        <v>832</v>
      </c>
      <c r="GK40" s="84" t="str">
        <f t="shared" si="10"/>
        <v>Yes</v>
      </c>
      <c r="GL40" s="84" t="s">
        <v>150</v>
      </c>
      <c r="GM40" s="84" t="s">
        <v>150</v>
      </c>
      <c r="GN40" s="84" t="str">
        <f t="shared" si="36"/>
        <v>No</v>
      </c>
      <c r="GO40" s="84" t="s">
        <v>149</v>
      </c>
      <c r="GP40" s="84" t="s">
        <v>832</v>
      </c>
      <c r="GQ40" s="84" t="str">
        <f t="shared" si="47"/>
        <v>Yes</v>
      </c>
      <c r="GR40" s="84" t="s">
        <v>149</v>
      </c>
      <c r="GS40" s="84" t="str">
        <f t="shared" ref="GS40:GS46" si="55">GR40</f>
        <v>Yes</v>
      </c>
      <c r="GT40" s="84" t="s">
        <v>149</v>
      </c>
      <c r="GU40" s="84" t="s">
        <v>149</v>
      </c>
      <c r="GV40" s="84" t="s">
        <v>149</v>
      </c>
      <c r="GW40" s="84" t="s">
        <v>149</v>
      </c>
      <c r="GX40" s="84" t="s">
        <v>150</v>
      </c>
      <c r="GY40" s="84" t="s">
        <v>149</v>
      </c>
      <c r="GZ40" s="84" t="s">
        <v>150</v>
      </c>
      <c r="HA40" s="84" t="str">
        <f t="shared" si="14"/>
        <v>Partial yes</v>
      </c>
      <c r="HB40" s="84" t="s">
        <v>150</v>
      </c>
      <c r="HC40" s="84" t="str">
        <f t="shared" si="42"/>
        <v>No</v>
      </c>
      <c r="HD40" s="84" t="s">
        <v>149</v>
      </c>
      <c r="HE40" s="84" t="str">
        <f t="shared" si="48"/>
        <v>Yes</v>
      </c>
      <c r="HF40" s="84" t="s">
        <v>832</v>
      </c>
      <c r="HG40" s="84" t="s">
        <v>832</v>
      </c>
      <c r="HH40" s="84" t="s">
        <v>832</v>
      </c>
      <c r="HI40" s="84" t="s">
        <v>832</v>
      </c>
      <c r="HJ40" s="84" t="s">
        <v>149</v>
      </c>
      <c r="HK40" s="84" t="s">
        <v>832</v>
      </c>
      <c r="HL40" s="84" t="s">
        <v>832</v>
      </c>
      <c r="HM40" s="84" t="s">
        <v>149</v>
      </c>
      <c r="HN40" s="84" t="str">
        <f t="shared" si="49"/>
        <v>Yes</v>
      </c>
      <c r="HO40" s="84" t="s">
        <v>149</v>
      </c>
      <c r="HP40" s="84" t="str">
        <f t="shared" si="50"/>
        <v>Yes</v>
      </c>
      <c r="HQ40" s="84" t="s">
        <v>149</v>
      </c>
      <c r="HR40" s="84" t="s">
        <v>149</v>
      </c>
      <c r="HS40" s="84" t="s">
        <v>149</v>
      </c>
      <c r="HT40" s="84" t="str">
        <f t="shared" si="45"/>
        <v>Yes</v>
      </c>
      <c r="HU40" s="84" t="s">
        <v>149</v>
      </c>
      <c r="HV40" s="84" t="s">
        <v>149</v>
      </c>
      <c r="HW40" s="100" t="s">
        <v>832</v>
      </c>
      <c r="HX40" s="84" t="s">
        <v>149</v>
      </c>
      <c r="HY40" s="84" t="s">
        <v>150</v>
      </c>
      <c r="HZ40" s="84" t="str">
        <f t="shared" si="20"/>
        <v>Partial yes</v>
      </c>
      <c r="IA40" s="84" t="s">
        <v>150</v>
      </c>
      <c r="IB40" s="84" t="str">
        <f t="shared" si="41"/>
        <v>No</v>
      </c>
      <c r="IC40" s="84" t="s">
        <v>149</v>
      </c>
      <c r="ID40" s="84" t="str">
        <f t="shared" si="43"/>
        <v>Yes</v>
      </c>
      <c r="IE40" s="84" t="s">
        <v>832</v>
      </c>
      <c r="IF40" s="84" t="s">
        <v>832</v>
      </c>
      <c r="IG40" s="84" t="s">
        <v>832</v>
      </c>
      <c r="IH40" s="84" t="s">
        <v>832</v>
      </c>
      <c r="II40" s="84" t="s">
        <v>832</v>
      </c>
      <c r="IJ40" s="84" t="s">
        <v>149</v>
      </c>
      <c r="IK40" s="84" t="s">
        <v>149</v>
      </c>
      <c r="IL40" s="84" t="s">
        <v>149</v>
      </c>
      <c r="IM40" s="84" t="s">
        <v>150</v>
      </c>
      <c r="IN40" s="84" t="s">
        <v>149</v>
      </c>
      <c r="IP40" s="84" t="s">
        <v>150</v>
      </c>
      <c r="IR40" s="84" t="str">
        <f t="shared" si="46"/>
        <v>Partial yes</v>
      </c>
      <c r="IS40" s="84" t="s">
        <v>149</v>
      </c>
      <c r="IT40" s="84" t="s">
        <v>149</v>
      </c>
      <c r="IU40" s="84" t="s">
        <v>149</v>
      </c>
      <c r="IV40" s="84" t="str">
        <f t="shared" si="24"/>
        <v>Yes</v>
      </c>
      <c r="IW40" s="84" t="s">
        <v>149</v>
      </c>
      <c r="IX40" s="84" t="s">
        <v>149</v>
      </c>
      <c r="IY40" s="84" t="str">
        <f t="shared" si="25"/>
        <v>Yes</v>
      </c>
      <c r="IZ40" s="84" t="s">
        <v>149</v>
      </c>
      <c r="JA40" s="84" t="s">
        <v>149</v>
      </c>
      <c r="JB40" s="84" t="str">
        <f t="shared" si="26"/>
        <v>Yes</v>
      </c>
      <c r="JC40" s="84" t="s">
        <v>149</v>
      </c>
      <c r="JD40" s="84" t="s">
        <v>832</v>
      </c>
      <c r="JE40" s="84" t="str">
        <f t="shared" si="27"/>
        <v>Yes</v>
      </c>
      <c r="JF40" s="84" t="s">
        <v>149</v>
      </c>
      <c r="JG40" s="84" t="str">
        <f t="shared" si="54"/>
        <v>Yes</v>
      </c>
      <c r="JH40" s="51" t="s">
        <v>150</v>
      </c>
    </row>
    <row r="41" spans="1:268" s="84" customFormat="1" ht="16" x14ac:dyDescent="0.25">
      <c r="A41" s="83">
        <v>47</v>
      </c>
      <c r="B41" s="84" t="s">
        <v>466</v>
      </c>
      <c r="C41" s="84" t="s">
        <v>467</v>
      </c>
      <c r="D41" s="84" t="s">
        <v>629</v>
      </c>
      <c r="E41" s="85">
        <v>45544</v>
      </c>
      <c r="F41" s="84" t="s">
        <v>468</v>
      </c>
      <c r="G41" s="84" t="s">
        <v>149</v>
      </c>
      <c r="H41" s="84" t="s">
        <v>150</v>
      </c>
      <c r="I41" s="84" t="s">
        <v>315</v>
      </c>
      <c r="J41" s="84" t="s">
        <v>251</v>
      </c>
      <c r="K41" s="86" t="s">
        <v>630</v>
      </c>
      <c r="L41" s="84" t="s">
        <v>173</v>
      </c>
      <c r="M41" s="86" t="s">
        <v>654</v>
      </c>
      <c r="N41" s="84" t="s">
        <v>348</v>
      </c>
      <c r="O41" s="86" t="s">
        <v>655</v>
      </c>
      <c r="P41" s="84" t="s">
        <v>185</v>
      </c>
      <c r="Q41" s="84" t="s">
        <v>656</v>
      </c>
      <c r="R41" s="88">
        <v>4</v>
      </c>
      <c r="S41" s="84" t="s">
        <v>657</v>
      </c>
      <c r="T41" s="88" t="s">
        <v>149</v>
      </c>
      <c r="U41" s="84" t="s">
        <v>150</v>
      </c>
      <c r="V41" s="84" t="s">
        <v>149</v>
      </c>
      <c r="W41" s="84" t="s">
        <v>149</v>
      </c>
      <c r="X41" s="84" t="s">
        <v>150</v>
      </c>
      <c r="Y41" s="84" t="s">
        <v>149</v>
      </c>
      <c r="Z41" s="84" t="s">
        <v>150</v>
      </c>
      <c r="AA41" s="89"/>
      <c r="AB41" s="84" t="s">
        <v>149</v>
      </c>
      <c r="AC41" s="84" t="s">
        <v>149</v>
      </c>
      <c r="AD41" s="84" t="s">
        <v>150</v>
      </c>
      <c r="AE41" s="84" t="s">
        <v>150</v>
      </c>
      <c r="AF41" s="89"/>
      <c r="AH41" s="90" t="s">
        <v>242</v>
      </c>
      <c r="AI41" s="146" t="s">
        <v>149</v>
      </c>
      <c r="AJ41" s="87" t="s">
        <v>150</v>
      </c>
      <c r="AL41" s="92"/>
      <c r="AM41" s="84" t="s">
        <v>149</v>
      </c>
      <c r="AN41" s="85">
        <v>44395</v>
      </c>
      <c r="AO41" s="84" t="s">
        <v>149</v>
      </c>
      <c r="AP41" s="84" t="s">
        <v>631</v>
      </c>
      <c r="AQ41" s="86"/>
      <c r="AR41" s="91"/>
      <c r="AS41" s="84" t="s">
        <v>149</v>
      </c>
      <c r="AT41" s="84" t="s">
        <v>149</v>
      </c>
      <c r="AU41" s="84" t="s">
        <v>149</v>
      </c>
      <c r="AV41" s="84" t="s">
        <v>150</v>
      </c>
      <c r="AW41" s="84" t="s">
        <v>150</v>
      </c>
      <c r="AX41" s="84" t="s">
        <v>149</v>
      </c>
      <c r="AY41" s="92" t="s">
        <v>149</v>
      </c>
      <c r="AZ41" s="84" t="s">
        <v>149</v>
      </c>
      <c r="BA41" s="84" t="s">
        <v>150</v>
      </c>
      <c r="BB41" s="84" t="s">
        <v>150</v>
      </c>
      <c r="BC41" s="84" t="s">
        <v>150</v>
      </c>
      <c r="BD41" s="84" t="s">
        <v>149</v>
      </c>
      <c r="BE41" s="84" t="s">
        <v>149</v>
      </c>
      <c r="BF41" s="84" t="s">
        <v>150</v>
      </c>
      <c r="BG41" s="87" t="s">
        <v>149</v>
      </c>
      <c r="BH41" s="84" t="s">
        <v>149</v>
      </c>
      <c r="BI41" s="84" t="s">
        <v>149</v>
      </c>
      <c r="BJ41" s="86" t="s">
        <v>149</v>
      </c>
      <c r="BK41" s="84" t="s">
        <v>149</v>
      </c>
      <c r="BL41" s="84" t="s">
        <v>149</v>
      </c>
      <c r="BM41" s="87" t="s">
        <v>149</v>
      </c>
      <c r="BN41" s="84" t="s">
        <v>149</v>
      </c>
      <c r="BO41" s="84" t="s">
        <v>149</v>
      </c>
      <c r="BP41" s="84" t="s">
        <v>149</v>
      </c>
      <c r="BR41" s="84" t="s">
        <v>150</v>
      </c>
      <c r="BS41" s="86" t="s">
        <v>285</v>
      </c>
      <c r="BT41" s="87" t="s">
        <v>163</v>
      </c>
      <c r="BU41" s="84" t="s">
        <v>164</v>
      </c>
      <c r="BW41" s="92"/>
      <c r="BX41" s="86" t="s">
        <v>165</v>
      </c>
      <c r="BY41" s="84" t="s">
        <v>150</v>
      </c>
      <c r="BZ41" s="93" t="s">
        <v>605</v>
      </c>
      <c r="CA41" s="94">
        <v>3022</v>
      </c>
      <c r="CB41" s="92">
        <v>46</v>
      </c>
      <c r="CC41" s="84">
        <v>30</v>
      </c>
      <c r="CD41" s="95">
        <v>16</v>
      </c>
      <c r="CE41" s="85">
        <v>44957</v>
      </c>
      <c r="CF41" s="84" t="s">
        <v>150</v>
      </c>
      <c r="CH41" s="86"/>
      <c r="CI41" s="84" t="s">
        <v>150</v>
      </c>
      <c r="CJ41" s="92"/>
      <c r="CK41" s="84" t="s">
        <v>150</v>
      </c>
      <c r="CL41" s="92"/>
      <c r="CM41" s="92" t="s">
        <v>150</v>
      </c>
      <c r="CN41" s="96" t="s">
        <v>150</v>
      </c>
      <c r="CU41" s="97"/>
      <c r="CV41" s="87" t="s">
        <v>150</v>
      </c>
      <c r="CW41" s="97" t="s">
        <v>150</v>
      </c>
      <c r="CX41" s="97"/>
      <c r="DC41" s="97"/>
      <c r="DD41" s="87" t="s">
        <v>150</v>
      </c>
      <c r="DE41" s="97" t="s">
        <v>150</v>
      </c>
      <c r="DF41" s="97"/>
      <c r="DJ41" s="96"/>
      <c r="DK41" s="86"/>
      <c r="DL41" s="84" t="s">
        <v>150</v>
      </c>
      <c r="DM41" s="97" t="s">
        <v>150</v>
      </c>
      <c r="DN41" s="97"/>
      <c r="DS41" s="97"/>
      <c r="DT41" s="90" t="s">
        <v>150</v>
      </c>
      <c r="DU41" s="84" t="s">
        <v>149</v>
      </c>
      <c r="DV41" s="84" t="s">
        <v>658</v>
      </c>
      <c r="DY41" s="87" t="s">
        <v>150</v>
      </c>
      <c r="DZ41" s="84" t="s">
        <v>591</v>
      </c>
      <c r="EA41" s="84" t="s">
        <v>723</v>
      </c>
      <c r="EB41" s="86"/>
      <c r="EC41" s="87" t="s">
        <v>149</v>
      </c>
      <c r="ED41" s="97" t="s">
        <v>150</v>
      </c>
      <c r="EF41" s="84" t="s">
        <v>150</v>
      </c>
      <c r="EG41" s="84" t="s">
        <v>149</v>
      </c>
      <c r="EH41" s="84" t="s">
        <v>659</v>
      </c>
      <c r="EI41" s="96" t="s">
        <v>150</v>
      </c>
      <c r="EJ41" s="97"/>
      <c r="EN41" s="96"/>
      <c r="EO41" s="96"/>
      <c r="EP41" s="95"/>
      <c r="EQ41" s="126" t="s">
        <v>150</v>
      </c>
      <c r="ER41" s="136" t="s">
        <v>166</v>
      </c>
      <c r="ES41" s="103" t="s">
        <v>171</v>
      </c>
      <c r="ET41" s="103" t="s">
        <v>166</v>
      </c>
      <c r="EU41" s="102" t="s">
        <v>166</v>
      </c>
      <c r="EV41" s="137" t="s">
        <v>171</v>
      </c>
      <c r="EW41" s="146" t="str">
        <f t="shared" si="0"/>
        <v>High</v>
      </c>
      <c r="EX41" s="141"/>
      <c r="EY41" s="104" t="s">
        <v>149</v>
      </c>
      <c r="EZ41" s="104" t="s">
        <v>149</v>
      </c>
      <c r="FA41" s="104" t="s">
        <v>150</v>
      </c>
      <c r="FB41" s="86" t="str">
        <f t="shared" si="1"/>
        <v>Partial yes</v>
      </c>
      <c r="FC41" s="104" t="s">
        <v>149</v>
      </c>
      <c r="FD41" s="104" t="s">
        <v>149</v>
      </c>
      <c r="FE41" s="104" t="s">
        <v>150</v>
      </c>
      <c r="FF41" s="104" t="s">
        <v>150</v>
      </c>
      <c r="FG41" s="104" t="s">
        <v>150</v>
      </c>
      <c r="FH41" s="104" t="s">
        <v>150</v>
      </c>
      <c r="FI41" s="104" t="s">
        <v>150</v>
      </c>
      <c r="FJ41" s="104" t="s">
        <v>149</v>
      </c>
      <c r="FK41" s="104" t="s">
        <v>150</v>
      </c>
      <c r="FL41" s="104" t="s">
        <v>149</v>
      </c>
      <c r="FM41" s="104" t="s">
        <v>150</v>
      </c>
      <c r="FN41" s="104" t="s">
        <v>150</v>
      </c>
      <c r="FO41" s="84" t="str">
        <f t="shared" si="2"/>
        <v>Partial yes</v>
      </c>
      <c r="FP41" s="84" t="s">
        <v>149</v>
      </c>
      <c r="FQ41" s="84" t="s">
        <v>150</v>
      </c>
      <c r="FR41" s="84" t="s">
        <v>832</v>
      </c>
      <c r="FS41" s="84" t="str">
        <f t="shared" si="52"/>
        <v>Partial yes</v>
      </c>
      <c r="FT41" s="84" t="s">
        <v>149</v>
      </c>
      <c r="FU41" s="84" t="s">
        <v>832</v>
      </c>
      <c r="FV41" s="84" t="str">
        <f t="shared" si="53"/>
        <v>Yes</v>
      </c>
      <c r="FW41" s="84" t="str">
        <f t="shared" si="5"/>
        <v>No</v>
      </c>
      <c r="FX41" s="84" t="str">
        <f t="shared" si="29"/>
        <v>Yes</v>
      </c>
      <c r="FY41" s="84" t="str">
        <f t="shared" si="34"/>
        <v>No</v>
      </c>
      <c r="FZ41" s="84" t="str">
        <f t="shared" si="7"/>
        <v>Partial yes</v>
      </c>
      <c r="GA41" s="84" t="s">
        <v>149</v>
      </c>
      <c r="GB41" s="84" t="str">
        <f t="shared" si="44"/>
        <v>Yes</v>
      </c>
      <c r="GC41" s="84" t="s">
        <v>149</v>
      </c>
      <c r="GD41" s="84" t="str">
        <f t="shared" si="33"/>
        <v>Yes</v>
      </c>
      <c r="GE41" s="84" t="s">
        <v>149</v>
      </c>
      <c r="GF41" s="84" t="str">
        <f t="shared" si="31"/>
        <v>Yes</v>
      </c>
      <c r="GG41" s="84" t="s">
        <v>149</v>
      </c>
      <c r="GH41" s="84" t="str">
        <f t="shared" si="37"/>
        <v>Yes</v>
      </c>
      <c r="GI41" s="84" t="s">
        <v>149</v>
      </c>
      <c r="GJ41" s="84" t="s">
        <v>832</v>
      </c>
      <c r="GK41" s="84" t="str">
        <f t="shared" si="10"/>
        <v>Yes</v>
      </c>
      <c r="GL41" s="84" t="s">
        <v>150</v>
      </c>
      <c r="GM41" s="84" t="s">
        <v>150</v>
      </c>
      <c r="GN41" s="84" t="str">
        <f t="shared" si="36"/>
        <v>No</v>
      </c>
      <c r="GO41" s="84" t="s">
        <v>149</v>
      </c>
      <c r="GP41" s="84" t="s">
        <v>832</v>
      </c>
      <c r="GQ41" s="84" t="str">
        <f t="shared" si="47"/>
        <v>Yes</v>
      </c>
      <c r="GR41" s="84" t="s">
        <v>149</v>
      </c>
      <c r="GS41" s="84" t="str">
        <f t="shared" si="55"/>
        <v>Yes</v>
      </c>
      <c r="GT41" s="84" t="s">
        <v>149</v>
      </c>
      <c r="GU41" s="84" t="s">
        <v>149</v>
      </c>
      <c r="GV41" s="84" t="s">
        <v>149</v>
      </c>
      <c r="GW41" s="84" t="s">
        <v>149</v>
      </c>
      <c r="GX41" s="84" t="s">
        <v>150</v>
      </c>
      <c r="GY41" s="84" t="s">
        <v>149</v>
      </c>
      <c r="GZ41" s="84" t="s">
        <v>149</v>
      </c>
      <c r="HA41" s="84" t="str">
        <f t="shared" si="14"/>
        <v>Partial yes</v>
      </c>
      <c r="HB41" s="84" t="s">
        <v>149</v>
      </c>
      <c r="HC41" s="84" t="str">
        <f t="shared" si="42"/>
        <v>Yes</v>
      </c>
      <c r="HD41" s="84" t="s">
        <v>150</v>
      </c>
      <c r="HE41" s="84" t="str">
        <f t="shared" si="48"/>
        <v>No</v>
      </c>
      <c r="HF41" s="84" t="s">
        <v>832</v>
      </c>
      <c r="HG41" s="84" t="s">
        <v>832</v>
      </c>
      <c r="HH41" s="84" t="s">
        <v>832</v>
      </c>
      <c r="HI41" s="84" t="s">
        <v>832</v>
      </c>
      <c r="HJ41" s="84" t="s">
        <v>149</v>
      </c>
      <c r="HK41" s="84" t="s">
        <v>832</v>
      </c>
      <c r="HL41" s="84" t="s">
        <v>832</v>
      </c>
      <c r="HM41" s="84" t="s">
        <v>149</v>
      </c>
      <c r="HN41" s="84" t="str">
        <f t="shared" si="49"/>
        <v>Yes</v>
      </c>
      <c r="HO41" s="84" t="s">
        <v>150</v>
      </c>
      <c r="HP41" s="84" t="str">
        <f t="shared" si="50"/>
        <v>No</v>
      </c>
      <c r="HQ41" s="84" t="s">
        <v>149</v>
      </c>
      <c r="HR41" s="84" t="str">
        <f t="shared" ref="HR41:HR46" si="56">HQ41</f>
        <v>Yes</v>
      </c>
      <c r="HS41" s="84" t="s">
        <v>150</v>
      </c>
      <c r="HT41" s="84" t="str">
        <f t="shared" si="45"/>
        <v>No</v>
      </c>
      <c r="HU41" s="84" t="s">
        <v>150</v>
      </c>
      <c r="HV41" s="84" t="s">
        <v>149</v>
      </c>
      <c r="HW41" s="100" t="s">
        <v>832</v>
      </c>
      <c r="HX41" s="84" t="s">
        <v>149</v>
      </c>
      <c r="HY41" s="84" t="s">
        <v>149</v>
      </c>
      <c r="HZ41" s="84" t="str">
        <f t="shared" si="20"/>
        <v>Partial yes</v>
      </c>
      <c r="IA41" s="84" t="s">
        <v>149</v>
      </c>
      <c r="IB41" s="84" t="str">
        <f t="shared" si="41"/>
        <v>Yes</v>
      </c>
      <c r="IC41" s="84" t="s">
        <v>150</v>
      </c>
      <c r="ID41" s="84" t="str">
        <f t="shared" si="43"/>
        <v>No</v>
      </c>
      <c r="IE41" s="84" t="s">
        <v>832</v>
      </c>
      <c r="IF41" s="84" t="s">
        <v>832</v>
      </c>
      <c r="IG41" s="84" t="s">
        <v>832</v>
      </c>
      <c r="IH41" s="84" t="s">
        <v>832</v>
      </c>
      <c r="II41" s="84" t="s">
        <v>832</v>
      </c>
      <c r="IJ41" s="84" t="s">
        <v>149</v>
      </c>
      <c r="IK41" s="84" t="s">
        <v>149</v>
      </c>
      <c r="IL41" s="84" t="s">
        <v>149</v>
      </c>
      <c r="IM41" s="84" t="s">
        <v>150</v>
      </c>
      <c r="IN41" s="84" t="s">
        <v>149</v>
      </c>
      <c r="IP41" s="84" t="s">
        <v>150</v>
      </c>
      <c r="IR41" s="84" t="str">
        <f t="shared" si="46"/>
        <v>Partial yes</v>
      </c>
      <c r="IS41" s="84" t="s">
        <v>149</v>
      </c>
      <c r="IT41" s="84" t="s">
        <v>149</v>
      </c>
      <c r="IU41" s="84" t="s">
        <v>149</v>
      </c>
      <c r="IV41" s="84" t="str">
        <f t="shared" si="24"/>
        <v>Yes</v>
      </c>
      <c r="IW41" s="84" t="s">
        <v>149</v>
      </c>
      <c r="IX41" s="84" t="s">
        <v>149</v>
      </c>
      <c r="IY41" s="84" t="str">
        <f t="shared" si="25"/>
        <v>Yes</v>
      </c>
      <c r="IZ41" s="84" t="s">
        <v>149</v>
      </c>
      <c r="JA41" s="84" t="s">
        <v>149</v>
      </c>
      <c r="JB41" s="84" t="str">
        <f t="shared" si="26"/>
        <v>Yes</v>
      </c>
      <c r="JC41" s="84" t="s">
        <v>149</v>
      </c>
      <c r="JD41" s="84" t="s">
        <v>832</v>
      </c>
      <c r="JE41" s="84" t="str">
        <f t="shared" si="27"/>
        <v>Yes</v>
      </c>
      <c r="JF41" s="84" t="s">
        <v>149</v>
      </c>
      <c r="JG41" s="84" t="str">
        <f t="shared" si="54"/>
        <v>Yes</v>
      </c>
      <c r="JH41" s="84" t="s">
        <v>149</v>
      </c>
    </row>
    <row r="42" spans="1:268" s="84" customFormat="1" ht="16" x14ac:dyDescent="0.25">
      <c r="A42" s="83">
        <v>30</v>
      </c>
      <c r="B42" s="84" t="s">
        <v>414</v>
      </c>
      <c r="C42" s="84" t="s">
        <v>415</v>
      </c>
      <c r="D42" s="84" t="s">
        <v>178</v>
      </c>
      <c r="E42" s="85">
        <v>44725</v>
      </c>
      <c r="F42" s="84" t="s">
        <v>416</v>
      </c>
      <c r="G42" s="84" t="s">
        <v>149</v>
      </c>
      <c r="H42" s="84" t="s">
        <v>149</v>
      </c>
      <c r="I42" s="84" t="s">
        <v>315</v>
      </c>
      <c r="J42" s="84" t="s">
        <v>202</v>
      </c>
      <c r="K42" s="86" t="s">
        <v>203</v>
      </c>
      <c r="L42" s="84" t="s">
        <v>154</v>
      </c>
      <c r="M42" s="86" t="s">
        <v>542</v>
      </c>
      <c r="N42" s="84" t="s">
        <v>268</v>
      </c>
      <c r="O42" s="86" t="s">
        <v>316</v>
      </c>
      <c r="P42" s="84" t="s">
        <v>185</v>
      </c>
      <c r="Q42" s="84" t="s">
        <v>206</v>
      </c>
      <c r="R42" s="88">
        <v>9</v>
      </c>
      <c r="S42" s="84" t="s">
        <v>548</v>
      </c>
      <c r="T42" s="88" t="s">
        <v>149</v>
      </c>
      <c r="U42" s="84" t="s">
        <v>149</v>
      </c>
      <c r="V42" s="84" t="s">
        <v>149</v>
      </c>
      <c r="W42" s="84" t="s">
        <v>149</v>
      </c>
      <c r="X42" s="84" t="s">
        <v>150</v>
      </c>
      <c r="Y42" s="84" t="s">
        <v>150</v>
      </c>
      <c r="Z42" s="84" t="s">
        <v>150</v>
      </c>
      <c r="AA42" s="89"/>
      <c r="AB42" s="84" t="s">
        <v>149</v>
      </c>
      <c r="AC42" s="84" t="s">
        <v>150</v>
      </c>
      <c r="AD42" s="84" t="s">
        <v>149</v>
      </c>
      <c r="AE42" s="84" t="s">
        <v>150</v>
      </c>
      <c r="AF42" s="89"/>
      <c r="AH42" s="90" t="s">
        <v>188</v>
      </c>
      <c r="AI42" s="146" t="s">
        <v>149</v>
      </c>
      <c r="AJ42" s="165" t="s">
        <v>150</v>
      </c>
      <c r="AL42" s="92"/>
      <c r="AM42" s="159" t="s">
        <v>149</v>
      </c>
      <c r="AN42" s="85">
        <v>44419</v>
      </c>
      <c r="AO42" s="84" t="s">
        <v>149</v>
      </c>
      <c r="AP42" s="84" t="s">
        <v>544</v>
      </c>
      <c r="AQ42" s="86"/>
      <c r="AR42" s="91"/>
      <c r="AS42" s="84" t="s">
        <v>149</v>
      </c>
      <c r="AT42" s="84" t="s">
        <v>149</v>
      </c>
      <c r="AU42" s="84" t="s">
        <v>149</v>
      </c>
      <c r="AV42" s="84" t="s">
        <v>150</v>
      </c>
      <c r="AW42" s="84" t="s">
        <v>149</v>
      </c>
      <c r="AX42" s="84" t="s">
        <v>149</v>
      </c>
      <c r="AY42" s="92" t="s">
        <v>149</v>
      </c>
      <c r="AZ42" s="84" t="s">
        <v>149</v>
      </c>
      <c r="BA42" s="84" t="s">
        <v>149</v>
      </c>
      <c r="BB42" s="84" t="s">
        <v>149</v>
      </c>
      <c r="BC42" s="84" t="s">
        <v>149</v>
      </c>
      <c r="BD42" s="84" t="s">
        <v>149</v>
      </c>
      <c r="BE42" s="84" t="s">
        <v>149</v>
      </c>
      <c r="BF42" s="84" t="s">
        <v>149</v>
      </c>
      <c r="BG42" s="87" t="s">
        <v>149</v>
      </c>
      <c r="BH42" s="84" t="s">
        <v>149</v>
      </c>
      <c r="BI42" s="84" t="s">
        <v>149</v>
      </c>
      <c r="BJ42" s="86" t="s">
        <v>149</v>
      </c>
      <c r="BK42" s="84" t="s">
        <v>149</v>
      </c>
      <c r="BL42" s="84" t="s">
        <v>149</v>
      </c>
      <c r="BM42" s="87" t="s">
        <v>149</v>
      </c>
      <c r="BN42" s="84" t="s">
        <v>149</v>
      </c>
      <c r="BO42" s="84" t="s">
        <v>149</v>
      </c>
      <c r="BP42" s="84" t="s">
        <v>149</v>
      </c>
      <c r="BR42" s="84" t="s">
        <v>191</v>
      </c>
      <c r="BT42" s="87" t="s">
        <v>163</v>
      </c>
      <c r="BU42" s="84" t="s">
        <v>164</v>
      </c>
      <c r="BW42" s="92"/>
      <c r="BX42" s="86" t="s">
        <v>165</v>
      </c>
      <c r="BY42" s="84" t="s">
        <v>149</v>
      </c>
      <c r="BZ42" s="93" t="s">
        <v>545</v>
      </c>
      <c r="CA42" s="94">
        <v>474</v>
      </c>
      <c r="CB42" s="92">
        <v>6</v>
      </c>
      <c r="CC42" s="84">
        <v>6</v>
      </c>
      <c r="CD42" s="95">
        <v>0</v>
      </c>
      <c r="CE42" s="85">
        <v>44616</v>
      </c>
      <c r="CF42" s="84" t="s">
        <v>150</v>
      </c>
      <c r="CH42" s="86"/>
      <c r="CI42" s="84" t="s">
        <v>150</v>
      </c>
      <c r="CJ42" s="92"/>
      <c r="CK42" s="84" t="s">
        <v>149</v>
      </c>
      <c r="CL42" s="92" t="s">
        <v>220</v>
      </c>
      <c r="CM42" s="92" t="s">
        <v>150</v>
      </c>
      <c r="CN42" s="96" t="s">
        <v>149</v>
      </c>
      <c r="CO42" s="84" t="s">
        <v>149</v>
      </c>
      <c r="CP42" s="84" t="s">
        <v>150</v>
      </c>
      <c r="CS42" s="84" t="s">
        <v>150</v>
      </c>
      <c r="CU42" s="97" t="s">
        <v>546</v>
      </c>
      <c r="CV42" s="87" t="s">
        <v>150</v>
      </c>
      <c r="CW42" s="97" t="s">
        <v>150</v>
      </c>
      <c r="CX42" s="97"/>
      <c r="DC42" s="97"/>
      <c r="DD42" s="87" t="s">
        <v>150</v>
      </c>
      <c r="DE42" s="97" t="s">
        <v>150</v>
      </c>
      <c r="DF42" s="97"/>
      <c r="DJ42" s="96"/>
      <c r="DK42" s="86"/>
      <c r="DL42" s="84" t="s">
        <v>150</v>
      </c>
      <c r="DM42" s="97" t="s">
        <v>150</v>
      </c>
      <c r="DN42" s="97"/>
      <c r="DS42" s="97"/>
      <c r="DT42" s="90" t="s">
        <v>150</v>
      </c>
      <c r="DU42" s="84" t="s">
        <v>150</v>
      </c>
      <c r="DW42" s="84" t="s">
        <v>149</v>
      </c>
      <c r="DY42" s="87" t="s">
        <v>150</v>
      </c>
      <c r="DZ42" s="84" t="s">
        <v>150</v>
      </c>
      <c r="EB42" s="86"/>
      <c r="EC42" s="87" t="s">
        <v>149</v>
      </c>
      <c r="ED42" s="97" t="s">
        <v>150</v>
      </c>
      <c r="EF42" s="84" t="s">
        <v>196</v>
      </c>
      <c r="EG42" s="84" t="s">
        <v>150</v>
      </c>
      <c r="EI42" s="96" t="s">
        <v>149</v>
      </c>
      <c r="EJ42" s="97" t="s">
        <v>149</v>
      </c>
      <c r="EK42" s="84" t="s">
        <v>150</v>
      </c>
      <c r="EL42" s="84" t="s">
        <v>149</v>
      </c>
      <c r="EM42" s="84" t="s">
        <v>150</v>
      </c>
      <c r="EN42" s="96"/>
      <c r="EO42" s="96" t="s">
        <v>547</v>
      </c>
      <c r="EP42" s="95"/>
      <c r="EQ42" s="126" t="s">
        <v>150</v>
      </c>
      <c r="ER42" s="135" t="s">
        <v>166</v>
      </c>
      <c r="ES42" s="84" t="s">
        <v>166</v>
      </c>
      <c r="ET42" s="84" t="s">
        <v>166</v>
      </c>
      <c r="EU42" s="86" t="s">
        <v>166</v>
      </c>
      <c r="EV42" s="95" t="s">
        <v>166</v>
      </c>
      <c r="EW42" s="146" t="str">
        <f t="shared" si="0"/>
        <v>Low</v>
      </c>
      <c r="EX42" s="141"/>
      <c r="EY42" s="84" t="s">
        <v>150</v>
      </c>
      <c r="EZ42" s="84" t="s">
        <v>150</v>
      </c>
      <c r="FA42" s="84" t="s">
        <v>150</v>
      </c>
      <c r="FB42" s="86" t="str">
        <f t="shared" si="1"/>
        <v>No</v>
      </c>
      <c r="FC42" s="84" t="s">
        <v>149</v>
      </c>
      <c r="FD42" s="84" t="s">
        <v>149</v>
      </c>
      <c r="FE42" s="84" t="s">
        <v>149</v>
      </c>
      <c r="FF42" s="84" t="s">
        <v>149</v>
      </c>
      <c r="FG42" s="84" t="s">
        <v>149</v>
      </c>
      <c r="FH42" s="84" t="s">
        <v>150</v>
      </c>
      <c r="FI42" s="84" t="s">
        <v>149</v>
      </c>
      <c r="FJ42" s="84" t="s">
        <v>149</v>
      </c>
      <c r="FK42" s="84" t="s">
        <v>149</v>
      </c>
      <c r="FL42" s="84" t="s">
        <v>149</v>
      </c>
      <c r="FM42" s="84" t="s">
        <v>150</v>
      </c>
      <c r="FN42" s="84" t="s">
        <v>150</v>
      </c>
      <c r="FO42" s="84" t="str">
        <f t="shared" si="2"/>
        <v>Partial yes</v>
      </c>
      <c r="FP42" s="84" t="s">
        <v>149</v>
      </c>
      <c r="FQ42" s="84" t="s">
        <v>149</v>
      </c>
      <c r="FR42" s="84" t="s">
        <v>832</v>
      </c>
      <c r="FS42" s="84" t="str">
        <f t="shared" si="52"/>
        <v>Yes</v>
      </c>
      <c r="FT42" s="84" t="s">
        <v>149</v>
      </c>
      <c r="FU42" s="84" t="s">
        <v>832</v>
      </c>
      <c r="FV42" s="84" t="str">
        <f t="shared" si="53"/>
        <v>Yes</v>
      </c>
      <c r="FW42" s="84" t="str">
        <f t="shared" si="5"/>
        <v>Yes</v>
      </c>
      <c r="FX42" s="84" t="str">
        <f t="shared" si="29"/>
        <v>Yes</v>
      </c>
      <c r="FY42" s="84" t="str">
        <f t="shared" si="34"/>
        <v>Yes</v>
      </c>
      <c r="FZ42" s="84" t="str">
        <f t="shared" si="7"/>
        <v>Yes</v>
      </c>
      <c r="GA42" s="84" t="s">
        <v>149</v>
      </c>
      <c r="GB42" s="84" t="str">
        <f t="shared" si="44"/>
        <v>Yes</v>
      </c>
      <c r="GC42" s="84" t="s">
        <v>149</v>
      </c>
      <c r="GD42" s="84" t="str">
        <f t="shared" si="33"/>
        <v>Yes</v>
      </c>
      <c r="GE42" s="84" t="s">
        <v>149</v>
      </c>
      <c r="GF42" s="84" t="str">
        <f t="shared" si="31"/>
        <v>Yes</v>
      </c>
      <c r="GG42" s="84" t="s">
        <v>149</v>
      </c>
      <c r="GH42" s="84" t="str">
        <f t="shared" si="37"/>
        <v>Yes</v>
      </c>
      <c r="GI42" s="84" t="s">
        <v>149</v>
      </c>
      <c r="GJ42" s="84" t="s">
        <v>832</v>
      </c>
      <c r="GK42" s="84" t="str">
        <f t="shared" si="10"/>
        <v>Yes</v>
      </c>
      <c r="GL42" s="84" t="s">
        <v>149</v>
      </c>
      <c r="GM42" s="84" t="s">
        <v>149</v>
      </c>
      <c r="GN42" s="84" t="str">
        <f t="shared" si="36"/>
        <v>Yes</v>
      </c>
      <c r="GO42" s="84" t="s">
        <v>149</v>
      </c>
      <c r="GP42" s="84" t="s">
        <v>832</v>
      </c>
      <c r="GQ42" s="84" t="str">
        <f t="shared" si="47"/>
        <v>Yes</v>
      </c>
      <c r="GR42" s="84" t="s">
        <v>149</v>
      </c>
      <c r="GS42" s="84" t="str">
        <f t="shared" si="55"/>
        <v>Yes</v>
      </c>
      <c r="GT42" s="84" t="s">
        <v>149</v>
      </c>
      <c r="GU42" s="84" t="s">
        <v>149</v>
      </c>
      <c r="GV42" s="84" t="s">
        <v>149</v>
      </c>
      <c r="GW42" s="84" t="s">
        <v>149</v>
      </c>
      <c r="GX42" s="84" t="s">
        <v>149</v>
      </c>
      <c r="GY42" s="84" t="s">
        <v>149</v>
      </c>
      <c r="GZ42" s="84" t="s">
        <v>149</v>
      </c>
      <c r="HA42" s="84" t="str">
        <f t="shared" si="14"/>
        <v>Yes</v>
      </c>
      <c r="HB42" s="84" t="s">
        <v>149</v>
      </c>
      <c r="HC42" s="84" t="str">
        <f t="shared" si="42"/>
        <v>Yes</v>
      </c>
      <c r="HD42" s="84" t="s">
        <v>149</v>
      </c>
      <c r="HE42" s="84" t="str">
        <f t="shared" si="48"/>
        <v>Yes</v>
      </c>
      <c r="HF42" s="84" t="s">
        <v>832</v>
      </c>
      <c r="HG42" s="84" t="s">
        <v>832</v>
      </c>
      <c r="HH42" s="84" t="s">
        <v>832</v>
      </c>
      <c r="HI42" s="84" t="s">
        <v>832</v>
      </c>
      <c r="HJ42" s="84" t="s">
        <v>149</v>
      </c>
      <c r="HK42" s="84" t="s">
        <v>832</v>
      </c>
      <c r="HL42" s="84" t="s">
        <v>832</v>
      </c>
      <c r="HM42" s="84" t="s">
        <v>149</v>
      </c>
      <c r="HN42" s="84" t="str">
        <f t="shared" si="49"/>
        <v>Yes</v>
      </c>
      <c r="HO42" s="84" t="s">
        <v>149</v>
      </c>
      <c r="HP42" s="84" t="str">
        <f t="shared" si="50"/>
        <v>Yes</v>
      </c>
      <c r="HQ42" s="84" t="s">
        <v>149</v>
      </c>
      <c r="HR42" s="84" t="str">
        <f t="shared" si="56"/>
        <v>Yes</v>
      </c>
      <c r="HS42" s="84" t="s">
        <v>149</v>
      </c>
      <c r="HT42" s="84" t="str">
        <f t="shared" si="45"/>
        <v>Yes</v>
      </c>
      <c r="HU42" s="84" t="s">
        <v>149</v>
      </c>
      <c r="HV42" s="84" t="s">
        <v>149</v>
      </c>
      <c r="HW42" s="100" t="s">
        <v>832</v>
      </c>
      <c r="HX42" s="84" t="s">
        <v>149</v>
      </c>
      <c r="HY42" s="84" t="s">
        <v>149</v>
      </c>
      <c r="HZ42" s="84" t="str">
        <f t="shared" si="20"/>
        <v>Partial yes</v>
      </c>
      <c r="IA42" s="84" t="s">
        <v>149</v>
      </c>
      <c r="IB42" s="84" t="str">
        <f t="shared" si="41"/>
        <v>Yes</v>
      </c>
      <c r="IC42" s="84" t="s">
        <v>149</v>
      </c>
      <c r="ID42" s="84" t="str">
        <f t="shared" si="43"/>
        <v>Yes</v>
      </c>
      <c r="IE42" s="84" t="s">
        <v>832</v>
      </c>
      <c r="IF42" s="84" t="s">
        <v>832</v>
      </c>
      <c r="IG42" s="84" t="s">
        <v>832</v>
      </c>
      <c r="IH42" s="84" t="s">
        <v>832</v>
      </c>
      <c r="II42" s="84" t="s">
        <v>832</v>
      </c>
      <c r="IJ42" s="84" t="s">
        <v>149</v>
      </c>
      <c r="IK42" s="84" t="s">
        <v>149</v>
      </c>
      <c r="IL42" s="84" t="s">
        <v>149</v>
      </c>
      <c r="IM42" s="84" t="s">
        <v>150</v>
      </c>
      <c r="IN42" s="84" t="s">
        <v>149</v>
      </c>
      <c r="IP42" s="84" t="s">
        <v>150</v>
      </c>
      <c r="IR42" s="84" t="str">
        <f t="shared" si="46"/>
        <v>Partial yes</v>
      </c>
      <c r="IS42" s="84" t="s">
        <v>149</v>
      </c>
      <c r="IT42" s="84" t="s">
        <v>149</v>
      </c>
      <c r="IU42" s="84" t="s">
        <v>149</v>
      </c>
      <c r="IV42" s="84" t="str">
        <f t="shared" si="24"/>
        <v>Yes</v>
      </c>
      <c r="IW42" s="84" t="s">
        <v>149</v>
      </c>
      <c r="IX42" s="84" t="s">
        <v>149</v>
      </c>
      <c r="IY42" s="84" t="str">
        <f t="shared" si="25"/>
        <v>Yes</v>
      </c>
      <c r="IZ42" s="84" t="s">
        <v>149</v>
      </c>
      <c r="JA42" s="84" t="s">
        <v>149</v>
      </c>
      <c r="JB42" s="84" t="str">
        <f t="shared" si="26"/>
        <v>Yes</v>
      </c>
      <c r="JC42" s="84" t="s">
        <v>150</v>
      </c>
      <c r="JD42" s="84" t="s">
        <v>832</v>
      </c>
      <c r="JE42" s="84" t="str">
        <f t="shared" si="27"/>
        <v>No</v>
      </c>
      <c r="JF42" s="84" t="s">
        <v>149</v>
      </c>
      <c r="JG42" s="84" t="s">
        <v>149</v>
      </c>
      <c r="JH42" s="51" t="s">
        <v>150</v>
      </c>
    </row>
    <row r="43" spans="1:268" s="84" customFormat="1" ht="16" x14ac:dyDescent="0.25">
      <c r="A43" s="83">
        <v>50</v>
      </c>
      <c r="B43" s="84" t="s">
        <v>472</v>
      </c>
      <c r="C43" s="84" t="s">
        <v>473</v>
      </c>
      <c r="D43" s="84" t="s">
        <v>474</v>
      </c>
      <c r="E43" s="85">
        <v>43943</v>
      </c>
      <c r="F43" s="84" t="s">
        <v>475</v>
      </c>
      <c r="G43" s="84" t="s">
        <v>149</v>
      </c>
      <c r="H43" s="84" t="s">
        <v>150</v>
      </c>
      <c r="I43" s="84" t="s">
        <v>180</v>
      </c>
      <c r="J43" s="84" t="s">
        <v>496</v>
      </c>
      <c r="K43" s="86" t="s">
        <v>661</v>
      </c>
      <c r="L43" s="84" t="s">
        <v>154</v>
      </c>
      <c r="M43" s="86" t="s">
        <v>677</v>
      </c>
      <c r="N43" s="84" t="s">
        <v>719</v>
      </c>
      <c r="O43" s="86" t="s">
        <v>678</v>
      </c>
      <c r="P43" s="84" t="s">
        <v>185</v>
      </c>
      <c r="Q43" s="84" t="s">
        <v>679</v>
      </c>
      <c r="R43" s="88">
        <v>4</v>
      </c>
      <c r="S43" s="84" t="s">
        <v>680</v>
      </c>
      <c r="T43" s="88" t="s">
        <v>149</v>
      </c>
      <c r="U43" s="84" t="s">
        <v>150</v>
      </c>
      <c r="V43" s="84" t="s">
        <v>149</v>
      </c>
      <c r="W43" s="84" t="s">
        <v>149</v>
      </c>
      <c r="X43" s="84" t="s">
        <v>150</v>
      </c>
      <c r="Y43" s="84" t="s">
        <v>150</v>
      </c>
      <c r="Z43" s="84" t="s">
        <v>150</v>
      </c>
      <c r="AA43" s="89"/>
      <c r="AB43" s="84" t="s">
        <v>149</v>
      </c>
      <c r="AC43" s="84" t="s">
        <v>149</v>
      </c>
      <c r="AD43" s="84" t="s">
        <v>150</v>
      </c>
      <c r="AE43" s="84" t="s">
        <v>150</v>
      </c>
      <c r="AF43" s="89"/>
      <c r="AH43" s="90" t="s">
        <v>165</v>
      </c>
      <c r="AI43" s="146" t="s">
        <v>149</v>
      </c>
      <c r="AJ43" s="156" t="s">
        <v>149</v>
      </c>
      <c r="AK43" s="157" t="s">
        <v>662</v>
      </c>
      <c r="AL43" s="158">
        <v>43341</v>
      </c>
      <c r="AM43" s="84" t="s">
        <v>149</v>
      </c>
      <c r="AN43" s="85">
        <v>43138</v>
      </c>
      <c r="AO43" s="84" t="s">
        <v>149</v>
      </c>
      <c r="AP43" s="84" t="s">
        <v>663</v>
      </c>
      <c r="AQ43" s="86"/>
      <c r="AR43" s="91"/>
      <c r="AS43" s="84" t="s">
        <v>149</v>
      </c>
      <c r="AT43" s="84" t="s">
        <v>149</v>
      </c>
      <c r="AU43" s="84" t="s">
        <v>149</v>
      </c>
      <c r="AV43" s="84" t="s">
        <v>150</v>
      </c>
      <c r="AW43" s="84" t="s">
        <v>150</v>
      </c>
      <c r="AX43" s="84" t="s">
        <v>149</v>
      </c>
      <c r="AY43" s="92" t="s">
        <v>149</v>
      </c>
      <c r="AZ43" s="84" t="s">
        <v>149</v>
      </c>
      <c r="BA43" s="84" t="s">
        <v>149</v>
      </c>
      <c r="BB43" s="84" t="s">
        <v>149</v>
      </c>
      <c r="BC43" s="84" t="s">
        <v>149</v>
      </c>
      <c r="BD43" s="84" t="s">
        <v>150</v>
      </c>
      <c r="BE43" s="84" t="s">
        <v>149</v>
      </c>
      <c r="BF43" s="84" t="s">
        <v>150</v>
      </c>
      <c r="BG43" s="87" t="s">
        <v>149</v>
      </c>
      <c r="BH43" s="84" t="s">
        <v>149</v>
      </c>
      <c r="BI43" s="84" t="s">
        <v>149</v>
      </c>
      <c r="BJ43" s="86" t="s">
        <v>149</v>
      </c>
      <c r="BK43" s="84" t="s">
        <v>150</v>
      </c>
      <c r="BL43" s="84" t="s">
        <v>149</v>
      </c>
      <c r="BM43" s="87" t="s">
        <v>149</v>
      </c>
      <c r="BN43" s="84" t="s">
        <v>149</v>
      </c>
      <c r="BO43" s="84" t="s">
        <v>149</v>
      </c>
      <c r="BP43" s="84" t="s">
        <v>149</v>
      </c>
      <c r="BR43" s="84" t="s">
        <v>191</v>
      </c>
      <c r="BT43" s="87" t="s">
        <v>245</v>
      </c>
      <c r="BU43" s="84" t="s">
        <v>164</v>
      </c>
      <c r="BW43" s="92" t="s">
        <v>246</v>
      </c>
      <c r="BX43" s="86" t="s">
        <v>219</v>
      </c>
      <c r="BY43" s="84" t="s">
        <v>149</v>
      </c>
      <c r="BZ43" s="93" t="s">
        <v>605</v>
      </c>
      <c r="CA43" s="94">
        <v>7684</v>
      </c>
      <c r="CB43" s="92">
        <v>39</v>
      </c>
      <c r="CC43" s="84">
        <v>39</v>
      </c>
      <c r="CD43" s="95">
        <v>0</v>
      </c>
      <c r="CE43" s="85">
        <v>43766</v>
      </c>
      <c r="CF43" s="84" t="s">
        <v>150</v>
      </c>
      <c r="CH43" s="86"/>
      <c r="CI43" s="84" t="s">
        <v>150</v>
      </c>
      <c r="CJ43" s="92"/>
      <c r="CK43" s="84" t="s">
        <v>149</v>
      </c>
      <c r="CL43" s="92" t="s">
        <v>368</v>
      </c>
      <c r="CM43" s="92" t="s">
        <v>150</v>
      </c>
      <c r="CN43" s="96" t="s">
        <v>150</v>
      </c>
      <c r="CU43" s="97"/>
      <c r="CV43" s="87" t="s">
        <v>150</v>
      </c>
      <c r="CW43" s="97" t="s">
        <v>150</v>
      </c>
      <c r="CX43" s="97"/>
      <c r="DC43" s="97"/>
      <c r="DD43" s="87" t="s">
        <v>150</v>
      </c>
      <c r="DE43" s="97" t="s">
        <v>150</v>
      </c>
      <c r="DF43" s="97"/>
      <c r="DJ43" s="96"/>
      <c r="DK43" s="86"/>
      <c r="DL43" s="84" t="s">
        <v>150</v>
      </c>
      <c r="DM43" s="97" t="s">
        <v>150</v>
      </c>
      <c r="DN43" s="97"/>
      <c r="DS43" s="97"/>
      <c r="DT43" s="90" t="s">
        <v>150</v>
      </c>
      <c r="DU43" s="84" t="s">
        <v>149</v>
      </c>
      <c r="DV43" s="84" t="s">
        <v>368</v>
      </c>
      <c r="DY43" s="87" t="s">
        <v>150</v>
      </c>
      <c r="DZ43" s="84" t="s">
        <v>150</v>
      </c>
      <c r="EB43" s="86"/>
      <c r="EC43" s="87" t="s">
        <v>149</v>
      </c>
      <c r="ED43" s="97" t="s">
        <v>149</v>
      </c>
      <c r="EE43" s="84" t="s">
        <v>664</v>
      </c>
      <c r="EF43" s="84" t="s">
        <v>196</v>
      </c>
      <c r="EG43" s="84" t="s">
        <v>150</v>
      </c>
      <c r="EI43" s="96" t="s">
        <v>150</v>
      </c>
      <c r="EJ43" s="97"/>
      <c r="EN43" s="96"/>
      <c r="EO43" s="96"/>
      <c r="EP43" s="95"/>
      <c r="EQ43" s="126" t="s">
        <v>149</v>
      </c>
      <c r="ER43" s="135" t="s">
        <v>166</v>
      </c>
      <c r="ES43" s="84" t="s">
        <v>166</v>
      </c>
      <c r="ET43" s="84" t="s">
        <v>166</v>
      </c>
      <c r="EU43" s="86" t="s">
        <v>166</v>
      </c>
      <c r="EV43" s="95" t="s">
        <v>166</v>
      </c>
      <c r="EW43" s="146" t="str">
        <f t="shared" si="0"/>
        <v>Low</v>
      </c>
      <c r="EX43" s="141"/>
      <c r="EY43" s="104" t="s">
        <v>149</v>
      </c>
      <c r="EZ43" s="104" t="s">
        <v>150</v>
      </c>
      <c r="FA43" s="104" t="s">
        <v>150</v>
      </c>
      <c r="FB43" s="86" t="str">
        <f t="shared" si="1"/>
        <v>Partial yes</v>
      </c>
      <c r="FC43" s="104" t="s">
        <v>149</v>
      </c>
      <c r="FD43" s="104" t="s">
        <v>149</v>
      </c>
      <c r="FE43" s="104" t="s">
        <v>149</v>
      </c>
      <c r="FF43" s="104" t="s">
        <v>149</v>
      </c>
      <c r="FG43" s="104" t="s">
        <v>150</v>
      </c>
      <c r="FH43" s="104" t="s">
        <v>149</v>
      </c>
      <c r="FI43" s="104" t="s">
        <v>149</v>
      </c>
      <c r="FJ43" s="104" t="s">
        <v>149</v>
      </c>
      <c r="FK43" s="104" t="s">
        <v>149</v>
      </c>
      <c r="FL43" s="104" t="s">
        <v>149</v>
      </c>
      <c r="FM43" s="104" t="s">
        <v>150</v>
      </c>
      <c r="FN43" s="84" t="s">
        <v>150</v>
      </c>
      <c r="FO43" s="84" t="str">
        <f t="shared" si="2"/>
        <v>Partial yes</v>
      </c>
      <c r="FP43" s="84" t="s">
        <v>149</v>
      </c>
      <c r="FQ43" s="84" t="s">
        <v>150</v>
      </c>
      <c r="FR43" s="84" t="s">
        <v>832</v>
      </c>
      <c r="FS43" s="84" t="str">
        <f t="shared" si="52"/>
        <v>Partial yes</v>
      </c>
      <c r="FT43" s="84" t="s">
        <v>149</v>
      </c>
      <c r="FU43" s="84" t="s">
        <v>832</v>
      </c>
      <c r="FV43" s="84" t="str">
        <f t="shared" si="53"/>
        <v>Yes</v>
      </c>
      <c r="FW43" s="84" t="str">
        <f t="shared" si="5"/>
        <v>Yes</v>
      </c>
      <c r="FX43" s="84" t="str">
        <f t="shared" si="29"/>
        <v>Yes</v>
      </c>
      <c r="FY43" s="84" t="str">
        <f t="shared" si="34"/>
        <v>No</v>
      </c>
      <c r="FZ43" s="84" t="str">
        <f t="shared" si="7"/>
        <v>Partial yes</v>
      </c>
      <c r="GA43" s="84" t="s">
        <v>149</v>
      </c>
      <c r="GB43" s="84" t="str">
        <f t="shared" si="44"/>
        <v>Yes</v>
      </c>
      <c r="GC43" s="84" t="s">
        <v>149</v>
      </c>
      <c r="GD43" s="84" t="str">
        <f t="shared" si="33"/>
        <v>Yes</v>
      </c>
      <c r="GE43" s="84" t="s">
        <v>149</v>
      </c>
      <c r="GF43" s="84" t="str">
        <f t="shared" si="31"/>
        <v>Yes</v>
      </c>
      <c r="GG43" s="84" t="s">
        <v>149</v>
      </c>
      <c r="GH43" s="84" t="str">
        <f t="shared" si="37"/>
        <v>Yes</v>
      </c>
      <c r="GI43" s="84" t="s">
        <v>149</v>
      </c>
      <c r="GJ43" s="84" t="s">
        <v>832</v>
      </c>
      <c r="GK43" s="84" t="str">
        <f t="shared" si="10"/>
        <v>Yes</v>
      </c>
      <c r="GL43" s="84" t="s">
        <v>149</v>
      </c>
      <c r="GM43" s="84" t="s">
        <v>149</v>
      </c>
      <c r="GN43" s="84" t="str">
        <f t="shared" si="36"/>
        <v>Yes</v>
      </c>
      <c r="GO43" s="84" t="s">
        <v>149</v>
      </c>
      <c r="GP43" s="84" t="s">
        <v>832</v>
      </c>
      <c r="GQ43" s="84" t="str">
        <f t="shared" si="47"/>
        <v>Yes</v>
      </c>
      <c r="GR43" s="84" t="s">
        <v>149</v>
      </c>
      <c r="GS43" s="84" t="str">
        <f t="shared" si="55"/>
        <v>Yes</v>
      </c>
      <c r="GT43" s="84" t="s">
        <v>149</v>
      </c>
      <c r="GU43" s="84" t="s">
        <v>149</v>
      </c>
      <c r="GV43" s="84" t="s">
        <v>149</v>
      </c>
      <c r="GW43" s="84" t="s">
        <v>149</v>
      </c>
      <c r="GX43" s="84" t="s">
        <v>150</v>
      </c>
      <c r="GY43" s="84" t="s">
        <v>149</v>
      </c>
      <c r="GZ43" s="84" t="s">
        <v>149</v>
      </c>
      <c r="HA43" s="84" t="str">
        <f t="shared" si="14"/>
        <v>Partial yes</v>
      </c>
      <c r="HB43" s="84" t="s">
        <v>150</v>
      </c>
      <c r="HC43" s="84" t="str">
        <f t="shared" si="42"/>
        <v>No</v>
      </c>
      <c r="HD43" s="84" t="s">
        <v>149</v>
      </c>
      <c r="HE43" s="84" t="str">
        <f t="shared" si="48"/>
        <v>Yes</v>
      </c>
      <c r="HF43" s="84" t="s">
        <v>832</v>
      </c>
      <c r="HG43" s="84" t="s">
        <v>832</v>
      </c>
      <c r="HH43" s="84" t="s">
        <v>832</v>
      </c>
      <c r="HI43" s="84" t="s">
        <v>832</v>
      </c>
      <c r="HJ43" s="84" t="s">
        <v>149</v>
      </c>
      <c r="HK43" s="84" t="s">
        <v>832</v>
      </c>
      <c r="HL43" s="84" t="s">
        <v>832</v>
      </c>
      <c r="HM43" s="84" t="s">
        <v>149</v>
      </c>
      <c r="HN43" s="84" t="str">
        <f t="shared" si="49"/>
        <v>Yes</v>
      </c>
      <c r="HO43" s="84" t="s">
        <v>149</v>
      </c>
      <c r="HP43" s="84" t="str">
        <f t="shared" si="50"/>
        <v>Yes</v>
      </c>
      <c r="HQ43" s="84" t="s">
        <v>149</v>
      </c>
      <c r="HR43" s="84" t="str">
        <f t="shared" si="56"/>
        <v>Yes</v>
      </c>
      <c r="HS43" s="84" t="s">
        <v>149</v>
      </c>
      <c r="HT43" s="84" t="str">
        <f t="shared" si="45"/>
        <v>Yes</v>
      </c>
      <c r="HU43" s="84" t="s">
        <v>149</v>
      </c>
      <c r="HV43" s="84" t="s">
        <v>149</v>
      </c>
      <c r="HW43" s="100" t="s">
        <v>832</v>
      </c>
      <c r="HX43" s="84" t="s">
        <v>149</v>
      </c>
      <c r="HY43" s="84" t="s">
        <v>149</v>
      </c>
      <c r="HZ43" s="84" t="str">
        <f t="shared" si="20"/>
        <v>Partial yes</v>
      </c>
      <c r="IA43" s="84" t="s">
        <v>150</v>
      </c>
      <c r="IB43" s="84" t="str">
        <f t="shared" si="41"/>
        <v>No</v>
      </c>
      <c r="IC43" s="84" t="s">
        <v>149</v>
      </c>
      <c r="ID43" s="84" t="str">
        <f t="shared" si="43"/>
        <v>Yes</v>
      </c>
      <c r="IE43" s="84" t="s">
        <v>832</v>
      </c>
      <c r="IF43" s="84" t="s">
        <v>832</v>
      </c>
      <c r="IG43" s="84" t="s">
        <v>832</v>
      </c>
      <c r="IH43" s="84" t="s">
        <v>832</v>
      </c>
      <c r="II43" s="84" t="s">
        <v>832</v>
      </c>
      <c r="IJ43" s="84" t="s">
        <v>149</v>
      </c>
      <c r="IK43" s="84" t="s">
        <v>149</v>
      </c>
      <c r="IL43" s="84" t="s">
        <v>149</v>
      </c>
      <c r="IM43" s="84" t="s">
        <v>150</v>
      </c>
      <c r="IN43" s="84" t="s">
        <v>149</v>
      </c>
      <c r="IP43" s="84" t="s">
        <v>150</v>
      </c>
      <c r="IR43" s="84" t="str">
        <f t="shared" si="46"/>
        <v>Partial yes</v>
      </c>
      <c r="IS43" s="84" t="s">
        <v>149</v>
      </c>
      <c r="IT43" s="84" t="s">
        <v>149</v>
      </c>
      <c r="IU43" s="84" t="s">
        <v>149</v>
      </c>
      <c r="IV43" s="84" t="str">
        <f t="shared" si="24"/>
        <v>Yes</v>
      </c>
      <c r="IW43" s="84" t="s">
        <v>149</v>
      </c>
      <c r="IX43" s="84" t="s">
        <v>149</v>
      </c>
      <c r="IY43" s="84" t="str">
        <f t="shared" si="25"/>
        <v>Yes</v>
      </c>
      <c r="IZ43" s="84" t="s">
        <v>149</v>
      </c>
      <c r="JA43" s="84" t="s">
        <v>149</v>
      </c>
      <c r="JB43" s="84" t="str">
        <f t="shared" si="26"/>
        <v>Yes</v>
      </c>
      <c r="JC43" s="84" t="s">
        <v>150</v>
      </c>
      <c r="JD43" s="84" t="s">
        <v>832</v>
      </c>
      <c r="JE43" s="84" t="str">
        <f t="shared" si="27"/>
        <v>No</v>
      </c>
      <c r="JF43" s="84" t="s">
        <v>149</v>
      </c>
      <c r="JG43" s="84" t="str">
        <f>JF43</f>
        <v>Yes</v>
      </c>
      <c r="JH43" s="51" t="s">
        <v>150</v>
      </c>
    </row>
    <row r="44" spans="1:268" s="84" customFormat="1" ht="16" customHeight="1" x14ac:dyDescent="0.25">
      <c r="A44" s="83">
        <v>51</v>
      </c>
      <c r="B44" s="84" t="s">
        <v>476</v>
      </c>
      <c r="C44" s="84" t="s">
        <v>329</v>
      </c>
      <c r="D44" s="84" t="s">
        <v>330</v>
      </c>
      <c r="E44" s="85">
        <v>44042</v>
      </c>
      <c r="F44" s="84" t="s">
        <v>477</v>
      </c>
      <c r="G44" s="84" t="s">
        <v>149</v>
      </c>
      <c r="H44" s="84" t="s">
        <v>150</v>
      </c>
      <c r="I44" s="84" t="s">
        <v>151</v>
      </c>
      <c r="J44" s="84" t="s">
        <v>202</v>
      </c>
      <c r="K44" s="86" t="s">
        <v>203</v>
      </c>
      <c r="L44" s="84" t="s">
        <v>154</v>
      </c>
      <c r="M44" s="86" t="s">
        <v>682</v>
      </c>
      <c r="N44" s="87" t="s">
        <v>717</v>
      </c>
      <c r="O44" s="86" t="s">
        <v>683</v>
      </c>
      <c r="P44" s="84" t="s">
        <v>185</v>
      </c>
      <c r="Q44" s="84" t="s">
        <v>206</v>
      </c>
      <c r="R44" s="88">
        <v>8</v>
      </c>
      <c r="S44" s="84" t="s">
        <v>684</v>
      </c>
      <c r="T44" s="88" t="s">
        <v>149</v>
      </c>
      <c r="U44" s="84" t="s">
        <v>149</v>
      </c>
      <c r="V44" s="84" t="s">
        <v>149</v>
      </c>
      <c r="W44" s="84" t="s">
        <v>150</v>
      </c>
      <c r="X44" s="84" t="s">
        <v>149</v>
      </c>
      <c r="Y44" s="84" t="s">
        <v>150</v>
      </c>
      <c r="Z44" s="84" t="s">
        <v>150</v>
      </c>
      <c r="AA44" s="89"/>
      <c r="AB44" s="84" t="s">
        <v>149</v>
      </c>
      <c r="AC44" s="84" t="s">
        <v>149</v>
      </c>
      <c r="AD44" s="84" t="s">
        <v>149</v>
      </c>
      <c r="AE44" s="84" t="s">
        <v>150</v>
      </c>
      <c r="AF44" s="89"/>
      <c r="AH44" s="90" t="s">
        <v>188</v>
      </c>
      <c r="AI44" s="146" t="s">
        <v>150</v>
      </c>
      <c r="AJ44" s="87" t="s">
        <v>150</v>
      </c>
      <c r="AL44" s="92"/>
      <c r="AM44" s="84" t="s">
        <v>150</v>
      </c>
      <c r="AQ44" s="86"/>
      <c r="AR44" s="91" t="s">
        <v>335</v>
      </c>
      <c r="AS44" s="84" t="s">
        <v>149</v>
      </c>
      <c r="AT44" s="84" t="s">
        <v>149</v>
      </c>
      <c r="AU44" s="84" t="s">
        <v>149</v>
      </c>
      <c r="AV44" s="84" t="s">
        <v>150</v>
      </c>
      <c r="AW44" s="84" t="s">
        <v>150</v>
      </c>
      <c r="AX44" s="84" t="s">
        <v>149</v>
      </c>
      <c r="AY44" s="92" t="s">
        <v>149</v>
      </c>
      <c r="AZ44" s="84" t="s">
        <v>149</v>
      </c>
      <c r="BA44" s="84" t="s">
        <v>149</v>
      </c>
      <c r="BB44" s="84" t="s">
        <v>150</v>
      </c>
      <c r="BC44" s="84" t="s">
        <v>150</v>
      </c>
      <c r="BD44" s="84" t="s">
        <v>150</v>
      </c>
      <c r="BE44" s="84" t="s">
        <v>150</v>
      </c>
      <c r="BF44" s="84" t="s">
        <v>149</v>
      </c>
      <c r="BG44" s="87" t="s">
        <v>149</v>
      </c>
      <c r="BH44" s="84" t="s">
        <v>149</v>
      </c>
      <c r="BI44" s="84" t="s">
        <v>149</v>
      </c>
      <c r="BJ44" s="86" t="s">
        <v>149</v>
      </c>
      <c r="BK44" s="84" t="s">
        <v>149</v>
      </c>
      <c r="BL44" s="84" t="s">
        <v>149</v>
      </c>
      <c r="BM44" s="87" t="s">
        <v>149</v>
      </c>
      <c r="BN44" s="84" t="s">
        <v>149</v>
      </c>
      <c r="BO44" s="84" t="s">
        <v>149</v>
      </c>
      <c r="BP44" s="84" t="s">
        <v>149</v>
      </c>
      <c r="BR44" s="84" t="s">
        <v>191</v>
      </c>
      <c r="BT44" s="87" t="s">
        <v>245</v>
      </c>
      <c r="BU44" s="84" t="s">
        <v>165</v>
      </c>
      <c r="BW44" s="92" t="s">
        <v>246</v>
      </c>
      <c r="BX44" s="86" t="s">
        <v>336</v>
      </c>
      <c r="BY44" s="84" t="s">
        <v>149</v>
      </c>
      <c r="BZ44" s="93"/>
      <c r="CA44" s="94">
        <v>7201</v>
      </c>
      <c r="CB44" s="92">
        <v>32</v>
      </c>
      <c r="CC44" s="84">
        <v>32</v>
      </c>
      <c r="CD44" s="95">
        <v>0</v>
      </c>
      <c r="CE44" s="85">
        <v>44032</v>
      </c>
      <c r="CF44" s="84" t="s">
        <v>150</v>
      </c>
      <c r="CH44" s="86"/>
      <c r="CI44" s="84" t="s">
        <v>149</v>
      </c>
      <c r="CJ44" s="92">
        <v>2</v>
      </c>
      <c r="CK44" s="84" t="s">
        <v>149</v>
      </c>
      <c r="CL44" s="92" t="s">
        <v>307</v>
      </c>
      <c r="CM44" s="92" t="s">
        <v>150</v>
      </c>
      <c r="CN44" s="96" t="s">
        <v>150</v>
      </c>
      <c r="CU44" s="97"/>
      <c r="CV44" s="87" t="s">
        <v>150</v>
      </c>
      <c r="CW44" s="97" t="s">
        <v>149</v>
      </c>
      <c r="CX44" s="97" t="s">
        <v>149</v>
      </c>
      <c r="CY44" s="84" t="s">
        <v>193</v>
      </c>
      <c r="DC44" s="97"/>
      <c r="DD44" s="87" t="s">
        <v>150</v>
      </c>
      <c r="DE44" s="97" t="s">
        <v>150</v>
      </c>
      <c r="DF44" s="97"/>
      <c r="DJ44" s="96"/>
      <c r="DK44" s="86"/>
      <c r="DL44" s="84" t="s">
        <v>150</v>
      </c>
      <c r="DM44" s="97" t="s">
        <v>150</v>
      </c>
      <c r="DN44" s="97"/>
      <c r="DS44" s="97"/>
      <c r="DT44" s="90" t="s">
        <v>150</v>
      </c>
      <c r="DU44" s="84" t="s">
        <v>150</v>
      </c>
      <c r="DW44" s="84" t="s">
        <v>150</v>
      </c>
      <c r="DY44" s="87" t="s">
        <v>149</v>
      </c>
      <c r="DZ44" s="84" t="s">
        <v>150</v>
      </c>
      <c r="EB44" s="86"/>
      <c r="EC44" s="87" t="s">
        <v>149</v>
      </c>
      <c r="ED44" s="97" t="s">
        <v>149</v>
      </c>
      <c r="EE44" s="84" t="s">
        <v>706</v>
      </c>
      <c r="EF44" s="84" t="s">
        <v>222</v>
      </c>
      <c r="EG44" s="84" t="s">
        <v>150</v>
      </c>
      <c r="EI44" s="96" t="s">
        <v>149</v>
      </c>
      <c r="EJ44" s="97" t="s">
        <v>149</v>
      </c>
      <c r="EK44" s="84" t="s">
        <v>150</v>
      </c>
      <c r="EL44" s="84" t="s">
        <v>149</v>
      </c>
      <c r="EM44" s="84" t="s">
        <v>150</v>
      </c>
      <c r="EN44" s="96"/>
      <c r="EO44" s="123" t="s">
        <v>838</v>
      </c>
      <c r="EP44" s="95"/>
      <c r="EQ44" s="126" t="s">
        <v>149</v>
      </c>
      <c r="ER44" s="135" t="s">
        <v>171</v>
      </c>
      <c r="ES44" s="84" t="s">
        <v>166</v>
      </c>
      <c r="ET44" s="84" t="s">
        <v>166</v>
      </c>
      <c r="EU44" s="86" t="s">
        <v>171</v>
      </c>
      <c r="EV44" s="95" t="s">
        <v>171</v>
      </c>
      <c r="EW44" s="146" t="str">
        <f t="shared" si="0"/>
        <v>High</v>
      </c>
      <c r="EX44" s="141"/>
      <c r="EY44" s="104" t="s">
        <v>149</v>
      </c>
      <c r="EZ44" s="104" t="s">
        <v>150</v>
      </c>
      <c r="FA44" s="104" t="s">
        <v>150</v>
      </c>
      <c r="FB44" s="86" t="str">
        <f t="shared" si="1"/>
        <v>Partial yes</v>
      </c>
      <c r="FC44" s="104" t="s">
        <v>149</v>
      </c>
      <c r="FD44" s="104" t="s">
        <v>149</v>
      </c>
      <c r="FE44" s="104" t="s">
        <v>150</v>
      </c>
      <c r="FF44" s="104" t="s">
        <v>149</v>
      </c>
      <c r="FG44" s="104" t="s">
        <v>149</v>
      </c>
      <c r="FH44" s="104" t="s">
        <v>149</v>
      </c>
      <c r="FI44" s="104" t="s">
        <v>149</v>
      </c>
      <c r="FJ44" s="104" t="s">
        <v>149</v>
      </c>
      <c r="FK44" s="104" t="s">
        <v>150</v>
      </c>
      <c r="FL44" s="104" t="s">
        <v>149</v>
      </c>
      <c r="FM44" s="104" t="s">
        <v>150</v>
      </c>
      <c r="FN44" s="104" t="s">
        <v>150</v>
      </c>
      <c r="FO44" s="84" t="str">
        <f t="shared" si="2"/>
        <v>Partial yes</v>
      </c>
      <c r="FP44" s="84" t="s">
        <v>149</v>
      </c>
      <c r="FQ44" s="84" t="s">
        <v>149</v>
      </c>
      <c r="FR44" s="84" t="s">
        <v>832</v>
      </c>
      <c r="FS44" s="84" t="str">
        <f t="shared" si="52"/>
        <v>Yes</v>
      </c>
      <c r="FT44" s="84" t="s">
        <v>149</v>
      </c>
      <c r="FU44" s="84" t="s">
        <v>832</v>
      </c>
      <c r="FV44" s="84" t="str">
        <f t="shared" si="53"/>
        <v>Yes</v>
      </c>
      <c r="FW44" s="84" t="str">
        <f t="shared" si="5"/>
        <v>Yes</v>
      </c>
      <c r="FX44" s="84" t="str">
        <f t="shared" si="29"/>
        <v>No</v>
      </c>
      <c r="FY44" s="84" t="str">
        <f t="shared" si="34"/>
        <v>Yes</v>
      </c>
      <c r="FZ44" s="84" t="str">
        <f t="shared" si="7"/>
        <v>Partial yes</v>
      </c>
      <c r="GA44" s="84" t="s">
        <v>149</v>
      </c>
      <c r="GB44" s="84" t="str">
        <f t="shared" si="44"/>
        <v>Yes</v>
      </c>
      <c r="GC44" s="84" t="s">
        <v>149</v>
      </c>
      <c r="GD44" s="84" t="str">
        <f t="shared" si="33"/>
        <v>Yes</v>
      </c>
      <c r="GE44" s="84" t="s">
        <v>149</v>
      </c>
      <c r="GF44" s="84" t="str">
        <f t="shared" si="31"/>
        <v>Yes</v>
      </c>
      <c r="GG44" s="84" t="s">
        <v>149</v>
      </c>
      <c r="GH44" s="84" t="str">
        <f t="shared" si="37"/>
        <v>Yes</v>
      </c>
      <c r="GI44" s="84" t="s">
        <v>149</v>
      </c>
      <c r="GJ44" s="84" t="s">
        <v>832</v>
      </c>
      <c r="GK44" s="84" t="str">
        <f t="shared" si="10"/>
        <v>Yes</v>
      </c>
      <c r="GL44" s="84" t="s">
        <v>149</v>
      </c>
      <c r="GM44" s="84" t="s">
        <v>149</v>
      </c>
      <c r="GN44" s="84" t="str">
        <f t="shared" si="36"/>
        <v>Yes</v>
      </c>
      <c r="GO44" s="84" t="s">
        <v>149</v>
      </c>
      <c r="GP44" s="84" t="s">
        <v>832</v>
      </c>
      <c r="GQ44" s="84" t="str">
        <f t="shared" si="47"/>
        <v>Yes</v>
      </c>
      <c r="GR44" s="84" t="s">
        <v>149</v>
      </c>
      <c r="GS44" s="84" t="str">
        <f t="shared" si="55"/>
        <v>Yes</v>
      </c>
      <c r="GT44" s="104" t="s">
        <v>149</v>
      </c>
      <c r="GU44" s="104" t="s">
        <v>149</v>
      </c>
      <c r="GV44" s="104" t="s">
        <v>149</v>
      </c>
      <c r="GW44" s="104" t="s">
        <v>149</v>
      </c>
      <c r="GX44" s="104" t="s">
        <v>149</v>
      </c>
      <c r="GY44" s="104" t="s">
        <v>149</v>
      </c>
      <c r="GZ44" s="104" t="s">
        <v>149</v>
      </c>
      <c r="HA44" s="84" t="str">
        <f t="shared" si="14"/>
        <v>Yes</v>
      </c>
      <c r="HB44" s="84" t="s">
        <v>150</v>
      </c>
      <c r="HC44" s="84" t="str">
        <f t="shared" si="42"/>
        <v>No</v>
      </c>
      <c r="HD44" s="84" t="s">
        <v>149</v>
      </c>
      <c r="HE44" s="84" t="str">
        <f t="shared" si="48"/>
        <v>Yes</v>
      </c>
      <c r="HF44" s="84" t="s">
        <v>832</v>
      </c>
      <c r="HG44" s="84" t="s">
        <v>832</v>
      </c>
      <c r="HH44" s="84" t="s">
        <v>832</v>
      </c>
      <c r="HI44" s="84" t="s">
        <v>832</v>
      </c>
      <c r="HJ44" s="84" t="s">
        <v>149</v>
      </c>
      <c r="HK44" s="84" t="s">
        <v>832</v>
      </c>
      <c r="HL44" s="84" t="s">
        <v>832</v>
      </c>
      <c r="HM44" s="84" t="s">
        <v>149</v>
      </c>
      <c r="HN44" s="84" t="str">
        <f t="shared" si="49"/>
        <v>Yes</v>
      </c>
      <c r="HO44" s="84" t="s">
        <v>149</v>
      </c>
      <c r="HP44" s="84" t="str">
        <f t="shared" si="50"/>
        <v>Yes</v>
      </c>
      <c r="HQ44" s="84" t="s">
        <v>149</v>
      </c>
      <c r="HR44" s="84" t="str">
        <f t="shared" si="56"/>
        <v>Yes</v>
      </c>
      <c r="HS44" s="84" t="s">
        <v>149</v>
      </c>
      <c r="HT44" s="84" t="str">
        <f t="shared" si="45"/>
        <v>Yes</v>
      </c>
      <c r="HU44" s="84" t="s">
        <v>149</v>
      </c>
      <c r="HV44" s="84" t="s">
        <v>149</v>
      </c>
      <c r="HW44" s="100" t="s">
        <v>832</v>
      </c>
      <c r="HX44" s="84" t="s">
        <v>149</v>
      </c>
      <c r="HY44" s="84" t="s">
        <v>149</v>
      </c>
      <c r="HZ44" s="84" t="str">
        <f t="shared" si="20"/>
        <v>Partial yes</v>
      </c>
      <c r="IA44" s="84" t="s">
        <v>149</v>
      </c>
      <c r="IB44" s="84" t="str">
        <f t="shared" si="41"/>
        <v>Yes</v>
      </c>
      <c r="IC44" s="84" t="s">
        <v>149</v>
      </c>
      <c r="ID44" s="84" t="str">
        <f t="shared" si="43"/>
        <v>Yes</v>
      </c>
      <c r="IE44" s="84" t="s">
        <v>832</v>
      </c>
      <c r="IF44" s="84" t="s">
        <v>832</v>
      </c>
      <c r="IG44" s="84" t="s">
        <v>832</v>
      </c>
      <c r="IH44" s="84" t="s">
        <v>832</v>
      </c>
      <c r="II44" s="84" t="s">
        <v>832</v>
      </c>
      <c r="IJ44" s="84" t="s">
        <v>149</v>
      </c>
      <c r="IK44" s="84" t="s">
        <v>149</v>
      </c>
      <c r="IL44" s="84" t="s">
        <v>149</v>
      </c>
      <c r="IM44" s="84" t="s">
        <v>149</v>
      </c>
      <c r="IN44" s="84" t="s">
        <v>149</v>
      </c>
      <c r="IP44" s="84" t="s">
        <v>150</v>
      </c>
      <c r="IR44" s="84" t="str">
        <f t="shared" si="46"/>
        <v>Partial yes</v>
      </c>
      <c r="IS44" s="84" t="s">
        <v>150</v>
      </c>
      <c r="IT44" s="84" t="s">
        <v>149</v>
      </c>
      <c r="IU44" s="84" t="s">
        <v>150</v>
      </c>
      <c r="IV44" s="84" t="str">
        <f t="shared" si="24"/>
        <v>Partial yes</v>
      </c>
      <c r="IW44" s="84" t="s">
        <v>149</v>
      </c>
      <c r="IX44" s="84" t="s">
        <v>149</v>
      </c>
      <c r="IY44" s="84" t="str">
        <f t="shared" si="25"/>
        <v>Yes</v>
      </c>
      <c r="IZ44" s="84" t="s">
        <v>149</v>
      </c>
      <c r="JA44" s="84" t="s">
        <v>149</v>
      </c>
      <c r="JB44" s="84" t="str">
        <f t="shared" si="26"/>
        <v>Yes</v>
      </c>
      <c r="JC44" s="84" t="s">
        <v>149</v>
      </c>
      <c r="JD44" s="84" t="s">
        <v>832</v>
      </c>
      <c r="JE44" s="84" t="str">
        <f t="shared" si="27"/>
        <v>Yes</v>
      </c>
      <c r="JF44" s="84" t="s">
        <v>149</v>
      </c>
      <c r="JG44" s="84" t="str">
        <f>JF44</f>
        <v>Yes</v>
      </c>
      <c r="JH44" s="84" t="s">
        <v>149</v>
      </c>
    </row>
    <row r="45" spans="1:268" s="84" customFormat="1" ht="16" x14ac:dyDescent="0.25">
      <c r="A45" s="83">
        <v>52</v>
      </c>
      <c r="B45" s="84" t="s">
        <v>478</v>
      </c>
      <c r="C45" s="84" t="s">
        <v>479</v>
      </c>
      <c r="D45" s="84" t="s">
        <v>480</v>
      </c>
      <c r="E45" s="85">
        <v>45260</v>
      </c>
      <c r="F45" s="84" t="s">
        <v>481</v>
      </c>
      <c r="G45" s="84" t="s">
        <v>150</v>
      </c>
      <c r="H45" s="84" t="s">
        <v>150</v>
      </c>
      <c r="I45" s="84" t="s">
        <v>614</v>
      </c>
      <c r="J45" s="84" t="s">
        <v>492</v>
      </c>
      <c r="K45" s="86" t="s">
        <v>665</v>
      </c>
      <c r="L45" s="84" t="s">
        <v>154</v>
      </c>
      <c r="M45" s="86" t="s">
        <v>685</v>
      </c>
      <c r="N45" s="84" t="s">
        <v>348</v>
      </c>
      <c r="O45" s="86" t="s">
        <v>686</v>
      </c>
      <c r="P45" s="84" t="s">
        <v>158</v>
      </c>
      <c r="Q45" s="84" t="s">
        <v>206</v>
      </c>
      <c r="R45" s="88"/>
      <c r="T45" s="88" t="s">
        <v>150</v>
      </c>
      <c r="U45" s="84" t="s">
        <v>149</v>
      </c>
      <c r="V45" s="84" t="s">
        <v>150</v>
      </c>
      <c r="W45" s="84" t="s">
        <v>150</v>
      </c>
      <c r="X45" s="84" t="s">
        <v>150</v>
      </c>
      <c r="Y45" s="84" t="s">
        <v>150</v>
      </c>
      <c r="Z45" s="84" t="s">
        <v>150</v>
      </c>
      <c r="AA45" s="89"/>
      <c r="AB45" s="84" t="s">
        <v>149</v>
      </c>
      <c r="AC45" s="84" t="s">
        <v>150</v>
      </c>
      <c r="AD45" s="84" t="s">
        <v>150</v>
      </c>
      <c r="AE45" s="84" t="s">
        <v>150</v>
      </c>
      <c r="AF45" s="89"/>
      <c r="AH45" s="90" t="s">
        <v>165</v>
      </c>
      <c r="AI45" s="146" t="s">
        <v>149</v>
      </c>
      <c r="AJ45" s="156" t="s">
        <v>149</v>
      </c>
      <c r="AK45" s="157" t="s">
        <v>687</v>
      </c>
      <c r="AL45" s="158">
        <v>45218</v>
      </c>
      <c r="AM45" s="84" t="s">
        <v>149</v>
      </c>
      <c r="AN45" s="85">
        <v>44580</v>
      </c>
      <c r="AO45" s="84" t="s">
        <v>149</v>
      </c>
      <c r="AP45" s="84" t="s">
        <v>666</v>
      </c>
      <c r="AQ45" s="86"/>
      <c r="AR45" s="91"/>
      <c r="AS45" s="84" t="s">
        <v>149</v>
      </c>
      <c r="AT45" s="84" t="s">
        <v>149</v>
      </c>
      <c r="AU45" s="84" t="s">
        <v>149</v>
      </c>
      <c r="AV45" s="84" t="s">
        <v>150</v>
      </c>
      <c r="AW45" s="84" t="s">
        <v>150</v>
      </c>
      <c r="AX45" s="84" t="s">
        <v>150</v>
      </c>
      <c r="AY45" s="92" t="s">
        <v>149</v>
      </c>
      <c r="AZ45" s="84" t="s">
        <v>150</v>
      </c>
      <c r="BG45" s="87" t="s">
        <v>149</v>
      </c>
      <c r="BH45" s="84" t="s">
        <v>149</v>
      </c>
      <c r="BI45" s="84" t="s">
        <v>149</v>
      </c>
      <c r="BJ45" s="86" t="s">
        <v>149</v>
      </c>
      <c r="BK45" s="84" t="s">
        <v>149</v>
      </c>
      <c r="BL45" s="84" t="s">
        <v>150</v>
      </c>
      <c r="BM45" s="87" t="s">
        <v>149</v>
      </c>
      <c r="BN45" s="84" t="s">
        <v>149</v>
      </c>
      <c r="BO45" s="84" t="s">
        <v>149</v>
      </c>
      <c r="BP45" s="84" t="s">
        <v>150</v>
      </c>
      <c r="BR45" s="84" t="s">
        <v>191</v>
      </c>
      <c r="BT45" s="87" t="s">
        <v>163</v>
      </c>
      <c r="BU45" s="84" t="s">
        <v>164</v>
      </c>
      <c r="BW45" s="92"/>
      <c r="BX45" s="86" t="s">
        <v>688</v>
      </c>
      <c r="BY45" s="84" t="s">
        <v>149</v>
      </c>
      <c r="BZ45" s="93"/>
      <c r="CA45" s="94">
        <v>5219</v>
      </c>
      <c r="CB45" s="92">
        <v>6</v>
      </c>
      <c r="CC45" s="84">
        <v>6</v>
      </c>
      <c r="CD45" s="95">
        <v>0</v>
      </c>
      <c r="CE45" s="85">
        <v>45170</v>
      </c>
      <c r="CF45" s="84" t="s">
        <v>150</v>
      </c>
      <c r="CH45" s="86" t="s">
        <v>689</v>
      </c>
      <c r="CI45" s="84" t="s">
        <v>150</v>
      </c>
      <c r="CJ45" s="92"/>
      <c r="CK45" s="84" t="s">
        <v>149</v>
      </c>
      <c r="CL45" s="92" t="s">
        <v>247</v>
      </c>
      <c r="CM45" s="92" t="s">
        <v>150</v>
      </c>
      <c r="CN45" s="96" t="s">
        <v>150</v>
      </c>
      <c r="CU45" s="97"/>
      <c r="CV45" s="87" t="s">
        <v>150</v>
      </c>
      <c r="CW45" s="97" t="s">
        <v>150</v>
      </c>
      <c r="CX45" s="97"/>
      <c r="DC45" s="97"/>
      <c r="DD45" s="87" t="s">
        <v>150</v>
      </c>
      <c r="DE45" s="97" t="s">
        <v>150</v>
      </c>
      <c r="DF45" s="97"/>
      <c r="DJ45" s="96"/>
      <c r="DK45" s="86"/>
      <c r="DL45" s="84" t="s">
        <v>150</v>
      </c>
      <c r="DM45" s="97" t="s">
        <v>150</v>
      </c>
      <c r="DN45" s="97"/>
      <c r="DS45" s="97"/>
      <c r="DT45" s="90" t="s">
        <v>150</v>
      </c>
      <c r="DU45" s="84" t="s">
        <v>150</v>
      </c>
      <c r="DW45" s="84" t="s">
        <v>149</v>
      </c>
      <c r="DY45" s="87" t="s">
        <v>150</v>
      </c>
      <c r="DZ45" s="84" t="s">
        <v>150</v>
      </c>
      <c r="EB45" s="86"/>
      <c r="EC45" s="87" t="s">
        <v>149</v>
      </c>
      <c r="ED45" s="97" t="s">
        <v>150</v>
      </c>
      <c r="EF45" s="84" t="s">
        <v>196</v>
      </c>
      <c r="EG45" s="84" t="s">
        <v>150</v>
      </c>
      <c r="EI45" s="96" t="s">
        <v>150</v>
      </c>
      <c r="EJ45" s="97"/>
      <c r="EN45" s="96"/>
      <c r="EO45" s="96"/>
      <c r="EP45" s="95"/>
      <c r="EQ45" s="126" t="s">
        <v>150</v>
      </c>
      <c r="ER45" s="135" t="s">
        <v>166</v>
      </c>
      <c r="ES45" s="84" t="s">
        <v>171</v>
      </c>
      <c r="ET45" s="84" t="s">
        <v>171</v>
      </c>
      <c r="EU45" s="86" t="s">
        <v>171</v>
      </c>
      <c r="EV45" s="95" t="s">
        <v>171</v>
      </c>
      <c r="EW45" s="146" t="str">
        <f t="shared" si="0"/>
        <v>High</v>
      </c>
      <c r="EX45" s="141"/>
      <c r="EY45" s="104" t="s">
        <v>149</v>
      </c>
      <c r="EZ45" s="104" t="s">
        <v>150</v>
      </c>
      <c r="FA45" s="104" t="s">
        <v>150</v>
      </c>
      <c r="FB45" s="86" t="str">
        <f t="shared" si="1"/>
        <v>Partial yes</v>
      </c>
      <c r="FC45" s="104" t="s">
        <v>149</v>
      </c>
      <c r="FD45" s="104" t="s">
        <v>149</v>
      </c>
      <c r="FE45" s="104" t="s">
        <v>149</v>
      </c>
      <c r="FF45" s="104" t="s">
        <v>150</v>
      </c>
      <c r="FG45" s="104" t="s">
        <v>150</v>
      </c>
      <c r="FH45" s="104" t="s">
        <v>149</v>
      </c>
      <c r="FI45" s="104" t="s">
        <v>149</v>
      </c>
      <c r="FJ45" s="104" t="s">
        <v>149</v>
      </c>
      <c r="FK45" s="104" t="s">
        <v>149</v>
      </c>
      <c r="FL45" s="104" t="s">
        <v>149</v>
      </c>
      <c r="FM45" s="104" t="s">
        <v>149</v>
      </c>
      <c r="FN45" s="104" t="s">
        <v>149</v>
      </c>
      <c r="FO45" s="84" t="str">
        <f t="shared" si="2"/>
        <v>Partial yes</v>
      </c>
      <c r="FP45" s="84" t="s">
        <v>149</v>
      </c>
      <c r="FQ45" s="84" t="s">
        <v>150</v>
      </c>
      <c r="FR45" s="84" t="s">
        <v>832</v>
      </c>
      <c r="FS45" s="84" t="str">
        <f t="shared" si="52"/>
        <v>Partial yes</v>
      </c>
      <c r="FT45" s="84" t="s">
        <v>149</v>
      </c>
      <c r="FU45" s="84" t="s">
        <v>832</v>
      </c>
      <c r="FV45" s="84" t="str">
        <f t="shared" si="53"/>
        <v>Yes</v>
      </c>
      <c r="FW45" s="84" t="str">
        <f t="shared" si="5"/>
        <v>Yes</v>
      </c>
      <c r="FX45" s="84" t="str">
        <f t="shared" si="29"/>
        <v>Yes</v>
      </c>
      <c r="FY45" s="84" t="str">
        <f t="shared" si="34"/>
        <v>No</v>
      </c>
      <c r="FZ45" s="84" t="str">
        <f t="shared" si="7"/>
        <v>Partial yes</v>
      </c>
      <c r="GA45" s="84" t="s">
        <v>149</v>
      </c>
      <c r="GB45" s="84" t="str">
        <f t="shared" si="44"/>
        <v>Yes</v>
      </c>
      <c r="GC45" s="84" t="s">
        <v>149</v>
      </c>
      <c r="GD45" s="84" t="str">
        <f t="shared" si="33"/>
        <v>Yes</v>
      </c>
      <c r="GE45" s="84" t="s">
        <v>149</v>
      </c>
      <c r="GF45" s="84" t="str">
        <f t="shared" si="31"/>
        <v>Yes</v>
      </c>
      <c r="GG45" s="84" t="s">
        <v>149</v>
      </c>
      <c r="GH45" s="84" t="str">
        <f t="shared" si="37"/>
        <v>Yes</v>
      </c>
      <c r="GI45" s="84" t="s">
        <v>149</v>
      </c>
      <c r="GJ45" s="84" t="s">
        <v>832</v>
      </c>
      <c r="GK45" s="84" t="str">
        <f t="shared" si="10"/>
        <v>Yes</v>
      </c>
      <c r="GL45" s="84" t="s">
        <v>149</v>
      </c>
      <c r="GM45" s="84" t="s">
        <v>149</v>
      </c>
      <c r="GN45" s="84" t="str">
        <f t="shared" si="36"/>
        <v>Yes</v>
      </c>
      <c r="GO45" s="84" t="s">
        <v>149</v>
      </c>
      <c r="GP45" s="84" t="s">
        <v>832</v>
      </c>
      <c r="GQ45" s="84" t="str">
        <f t="shared" si="47"/>
        <v>Yes</v>
      </c>
      <c r="GR45" s="84" t="s">
        <v>149</v>
      </c>
      <c r="GS45" s="84" t="str">
        <f t="shared" si="55"/>
        <v>Yes</v>
      </c>
      <c r="GT45" s="84" t="s">
        <v>149</v>
      </c>
      <c r="GU45" s="84" t="s">
        <v>149</v>
      </c>
      <c r="GV45" s="84" t="s">
        <v>149</v>
      </c>
      <c r="GW45" s="84" t="s">
        <v>149</v>
      </c>
      <c r="GX45" s="84" t="s">
        <v>150</v>
      </c>
      <c r="GY45" s="84" t="s">
        <v>149</v>
      </c>
      <c r="GZ45" s="84" t="s">
        <v>149</v>
      </c>
      <c r="HA45" s="84" t="str">
        <f t="shared" si="14"/>
        <v>Partial yes</v>
      </c>
      <c r="HB45" s="84" t="s">
        <v>150</v>
      </c>
      <c r="HC45" s="84" t="str">
        <f t="shared" si="42"/>
        <v>No</v>
      </c>
      <c r="HD45" s="84" t="s">
        <v>149</v>
      </c>
      <c r="HE45" s="84" t="str">
        <f t="shared" si="48"/>
        <v>Yes</v>
      </c>
      <c r="HF45" s="84" t="s">
        <v>832</v>
      </c>
      <c r="HG45" s="84" t="s">
        <v>832</v>
      </c>
      <c r="HH45" s="84" t="s">
        <v>832</v>
      </c>
      <c r="HI45" s="84" t="s">
        <v>832</v>
      </c>
      <c r="HJ45" s="84" t="s">
        <v>149</v>
      </c>
      <c r="HK45" s="84" t="s">
        <v>832</v>
      </c>
      <c r="HL45" s="84" t="s">
        <v>832</v>
      </c>
      <c r="HM45" s="84" t="s">
        <v>149</v>
      </c>
      <c r="HN45" s="84" t="str">
        <f t="shared" si="49"/>
        <v>Yes</v>
      </c>
      <c r="HO45" s="84" t="s">
        <v>149</v>
      </c>
      <c r="HP45" s="84" t="str">
        <f t="shared" si="50"/>
        <v>Yes</v>
      </c>
      <c r="HQ45" s="84" t="s">
        <v>149</v>
      </c>
      <c r="HR45" s="84" t="str">
        <f t="shared" si="56"/>
        <v>Yes</v>
      </c>
      <c r="HS45" s="84" t="s">
        <v>149</v>
      </c>
      <c r="HT45" s="84" t="str">
        <f t="shared" si="45"/>
        <v>Yes</v>
      </c>
      <c r="HU45" s="84" t="s">
        <v>149</v>
      </c>
      <c r="HV45" s="84" t="s">
        <v>149</v>
      </c>
      <c r="HW45" s="100" t="s">
        <v>832</v>
      </c>
      <c r="HX45" s="84" t="s">
        <v>149</v>
      </c>
      <c r="HY45" s="84" t="s">
        <v>149</v>
      </c>
      <c r="HZ45" s="84" t="str">
        <f t="shared" si="20"/>
        <v>Partial yes</v>
      </c>
      <c r="IA45" s="84" t="s">
        <v>150</v>
      </c>
      <c r="IB45" s="84" t="str">
        <f t="shared" si="41"/>
        <v>No</v>
      </c>
      <c r="IC45" s="84" t="s">
        <v>149</v>
      </c>
      <c r="ID45" s="84" t="str">
        <f t="shared" si="43"/>
        <v>Yes</v>
      </c>
      <c r="IE45" s="84" t="s">
        <v>832</v>
      </c>
      <c r="IF45" s="84" t="s">
        <v>832</v>
      </c>
      <c r="IG45" s="84" t="s">
        <v>832</v>
      </c>
      <c r="IH45" s="84" t="s">
        <v>832</v>
      </c>
      <c r="II45" s="84" t="s">
        <v>832</v>
      </c>
      <c r="IJ45" s="104" t="s">
        <v>149</v>
      </c>
      <c r="IK45" s="104" t="s">
        <v>149</v>
      </c>
      <c r="IL45" s="104" t="s">
        <v>149</v>
      </c>
      <c r="IM45" s="104" t="s">
        <v>150</v>
      </c>
      <c r="IN45" s="104" t="s">
        <v>149</v>
      </c>
      <c r="IP45" s="84" t="s">
        <v>150</v>
      </c>
      <c r="IR45" s="84" t="str">
        <f t="shared" si="46"/>
        <v>Partial yes</v>
      </c>
      <c r="IS45" s="84" t="s">
        <v>149</v>
      </c>
      <c r="IT45" s="84" t="s">
        <v>149</v>
      </c>
      <c r="IU45" s="84" t="s">
        <v>150</v>
      </c>
      <c r="IV45" s="84" t="str">
        <f t="shared" si="24"/>
        <v>Partial yes</v>
      </c>
      <c r="IW45" s="84" t="s">
        <v>149</v>
      </c>
      <c r="IX45" s="84" t="s">
        <v>149</v>
      </c>
      <c r="IY45" s="84" t="str">
        <f t="shared" si="25"/>
        <v>Yes</v>
      </c>
      <c r="IZ45" s="84" t="s">
        <v>149</v>
      </c>
      <c r="JA45" s="84" t="s">
        <v>149</v>
      </c>
      <c r="JB45" s="84" t="str">
        <f t="shared" si="26"/>
        <v>Yes</v>
      </c>
      <c r="JC45" s="84" t="s">
        <v>149</v>
      </c>
      <c r="JD45" s="84" t="s">
        <v>832</v>
      </c>
      <c r="JE45" s="84" t="str">
        <f t="shared" si="27"/>
        <v>Yes</v>
      </c>
      <c r="JF45" s="84" t="s">
        <v>149</v>
      </c>
      <c r="JG45" s="84" t="str">
        <f>JF45</f>
        <v>Yes</v>
      </c>
      <c r="JH45" s="51" t="s">
        <v>150</v>
      </c>
    </row>
    <row r="46" spans="1:268" s="84" customFormat="1" ht="16" x14ac:dyDescent="0.25">
      <c r="A46" s="83">
        <v>31</v>
      </c>
      <c r="B46" s="84" t="s">
        <v>417</v>
      </c>
      <c r="C46" s="84" t="s">
        <v>418</v>
      </c>
      <c r="D46" s="84" t="s">
        <v>178</v>
      </c>
      <c r="E46" s="85">
        <v>44818</v>
      </c>
      <c r="F46" s="84" t="s">
        <v>419</v>
      </c>
      <c r="G46" s="84" t="s">
        <v>149</v>
      </c>
      <c r="H46" s="84" t="s">
        <v>149</v>
      </c>
      <c r="I46" s="84" t="s">
        <v>315</v>
      </c>
      <c r="J46" s="84" t="s">
        <v>202</v>
      </c>
      <c r="K46" s="86" t="s">
        <v>203</v>
      </c>
      <c r="L46" s="84" t="s">
        <v>154</v>
      </c>
      <c r="M46" s="86" t="s">
        <v>551</v>
      </c>
      <c r="N46" s="84" t="s">
        <v>268</v>
      </c>
      <c r="O46" s="86" t="s">
        <v>316</v>
      </c>
      <c r="P46" s="84" t="s">
        <v>185</v>
      </c>
      <c r="Q46" s="84" t="s">
        <v>206</v>
      </c>
      <c r="R46" s="88">
        <v>8</v>
      </c>
      <c r="S46" s="84" t="s">
        <v>543</v>
      </c>
      <c r="T46" s="88" t="s">
        <v>149</v>
      </c>
      <c r="U46" s="84" t="s">
        <v>149</v>
      </c>
      <c r="V46" s="84" t="s">
        <v>149</v>
      </c>
      <c r="W46" s="84" t="s">
        <v>149</v>
      </c>
      <c r="X46" s="84" t="s">
        <v>150</v>
      </c>
      <c r="Y46" s="84" t="s">
        <v>150</v>
      </c>
      <c r="Z46" s="84" t="s">
        <v>150</v>
      </c>
      <c r="AA46" s="89"/>
      <c r="AB46" s="84" t="s">
        <v>149</v>
      </c>
      <c r="AC46" s="84" t="s">
        <v>149</v>
      </c>
      <c r="AD46" s="84" t="s">
        <v>149</v>
      </c>
      <c r="AE46" s="84" t="s">
        <v>150</v>
      </c>
      <c r="AF46" s="89"/>
      <c r="AG46" s="84" t="s">
        <v>552</v>
      </c>
      <c r="AH46" s="90" t="s">
        <v>188</v>
      </c>
      <c r="AI46" s="146" t="s">
        <v>149</v>
      </c>
      <c r="AJ46" s="165" t="s">
        <v>150</v>
      </c>
      <c r="AL46" s="92"/>
      <c r="AM46" s="159" t="s">
        <v>149</v>
      </c>
      <c r="AN46" s="85">
        <v>44565</v>
      </c>
      <c r="AO46" s="84" t="s">
        <v>149</v>
      </c>
      <c r="AP46" s="84" t="s">
        <v>549</v>
      </c>
      <c r="AQ46" s="86"/>
      <c r="AR46" s="91"/>
      <c r="AS46" s="84" t="s">
        <v>149</v>
      </c>
      <c r="AT46" s="84" t="s">
        <v>149</v>
      </c>
      <c r="AU46" s="84" t="s">
        <v>149</v>
      </c>
      <c r="AV46" s="84" t="s">
        <v>150</v>
      </c>
      <c r="AW46" s="84" t="s">
        <v>149</v>
      </c>
      <c r="AX46" s="84" t="s">
        <v>149</v>
      </c>
      <c r="AY46" s="92" t="s">
        <v>149</v>
      </c>
      <c r="AZ46" s="84" t="s">
        <v>149</v>
      </c>
      <c r="BA46" s="84" t="s">
        <v>149</v>
      </c>
      <c r="BB46" s="84" t="s">
        <v>149</v>
      </c>
      <c r="BC46" s="84" t="s">
        <v>150</v>
      </c>
      <c r="BD46" s="84" t="s">
        <v>149</v>
      </c>
      <c r="BE46" s="84" t="s">
        <v>149</v>
      </c>
      <c r="BF46" s="84" t="s">
        <v>149</v>
      </c>
      <c r="BG46" s="87" t="s">
        <v>149</v>
      </c>
      <c r="BH46" s="84" t="s">
        <v>149</v>
      </c>
      <c r="BI46" s="84" t="s">
        <v>149</v>
      </c>
      <c r="BJ46" s="86" t="s">
        <v>149</v>
      </c>
      <c r="BK46" s="84" t="s">
        <v>149</v>
      </c>
      <c r="BL46" s="84" t="s">
        <v>149</v>
      </c>
      <c r="BM46" s="87" t="s">
        <v>149</v>
      </c>
      <c r="BN46" s="84" t="s">
        <v>149</v>
      </c>
      <c r="BO46" s="84" t="s">
        <v>149</v>
      </c>
      <c r="BP46" s="84" t="s">
        <v>149</v>
      </c>
      <c r="BR46" s="84" t="s">
        <v>191</v>
      </c>
      <c r="BT46" s="87" t="s">
        <v>163</v>
      </c>
      <c r="BU46" s="84" t="s">
        <v>164</v>
      </c>
      <c r="BW46" s="92"/>
      <c r="BX46" s="86" t="s">
        <v>165</v>
      </c>
      <c r="BY46" s="84" t="s">
        <v>149</v>
      </c>
      <c r="BZ46" s="93" t="s">
        <v>545</v>
      </c>
      <c r="CA46" s="94">
        <v>86</v>
      </c>
      <c r="CB46" s="92">
        <v>2</v>
      </c>
      <c r="CC46" s="84">
        <v>2</v>
      </c>
      <c r="CD46" s="95">
        <v>0</v>
      </c>
      <c r="CE46" s="85">
        <v>44593</v>
      </c>
      <c r="CF46" s="84" t="s">
        <v>150</v>
      </c>
      <c r="CH46" s="86"/>
      <c r="CI46" s="84" t="s">
        <v>150</v>
      </c>
      <c r="CJ46" s="92"/>
      <c r="CK46" s="84" t="s">
        <v>149</v>
      </c>
      <c r="CL46" s="92" t="s">
        <v>220</v>
      </c>
      <c r="CM46" s="92" t="s">
        <v>149</v>
      </c>
      <c r="CN46" s="96" t="s">
        <v>150</v>
      </c>
      <c r="CU46" s="97" t="s">
        <v>550</v>
      </c>
      <c r="CV46" s="87" t="s">
        <v>150</v>
      </c>
      <c r="CW46" s="97" t="s">
        <v>150</v>
      </c>
      <c r="CX46" s="97"/>
      <c r="DC46" s="97"/>
      <c r="DD46" s="87" t="s">
        <v>150</v>
      </c>
      <c r="DE46" s="97" t="s">
        <v>150</v>
      </c>
      <c r="DF46" s="97"/>
      <c r="DJ46" s="96"/>
      <c r="DK46" s="86"/>
      <c r="DL46" s="87" t="s">
        <v>150</v>
      </c>
      <c r="DM46" s="97" t="s">
        <v>150</v>
      </c>
      <c r="DN46" s="97"/>
      <c r="DS46" s="97"/>
      <c r="DT46" s="90" t="s">
        <v>150</v>
      </c>
      <c r="DU46" s="84" t="s">
        <v>150</v>
      </c>
      <c r="DW46" s="84" t="s">
        <v>149</v>
      </c>
      <c r="DY46" s="87" t="s">
        <v>150</v>
      </c>
      <c r="DZ46" s="84" t="s">
        <v>150</v>
      </c>
      <c r="EB46" s="86"/>
      <c r="EC46" s="87" t="s">
        <v>149</v>
      </c>
      <c r="ED46" s="97" t="s">
        <v>150</v>
      </c>
      <c r="EF46" s="84" t="s">
        <v>196</v>
      </c>
      <c r="EG46" s="84" t="s">
        <v>150</v>
      </c>
      <c r="EI46" s="96" t="s">
        <v>150</v>
      </c>
      <c r="EJ46" s="97"/>
      <c r="EN46" s="96"/>
      <c r="EO46" s="96"/>
      <c r="EP46" s="95"/>
      <c r="EQ46" s="126" t="s">
        <v>150</v>
      </c>
      <c r="ER46" s="135" t="s">
        <v>166</v>
      </c>
      <c r="ES46" s="84" t="s">
        <v>166</v>
      </c>
      <c r="ET46" s="84" t="s">
        <v>166</v>
      </c>
      <c r="EU46" s="86" t="s">
        <v>166</v>
      </c>
      <c r="EV46" s="95" t="s">
        <v>166</v>
      </c>
      <c r="EW46" s="146" t="str">
        <f t="shared" si="0"/>
        <v>Low</v>
      </c>
      <c r="EX46" s="141"/>
      <c r="EY46" s="84" t="s">
        <v>150</v>
      </c>
      <c r="EZ46" s="84" t="s">
        <v>150</v>
      </c>
      <c r="FA46" s="84" t="s">
        <v>150</v>
      </c>
      <c r="FB46" s="86" t="str">
        <f t="shared" si="1"/>
        <v>No</v>
      </c>
      <c r="FC46" s="84" t="s">
        <v>150</v>
      </c>
      <c r="FD46" s="84" t="s">
        <v>149</v>
      </c>
      <c r="FE46" s="84" t="s">
        <v>149</v>
      </c>
      <c r="FF46" s="84" t="s">
        <v>149</v>
      </c>
      <c r="FG46" s="84" t="s">
        <v>149</v>
      </c>
      <c r="FH46" s="84" t="s">
        <v>150</v>
      </c>
      <c r="FI46" s="84" t="s">
        <v>149</v>
      </c>
      <c r="FJ46" s="84" t="s">
        <v>149</v>
      </c>
      <c r="FK46" s="84" t="s">
        <v>149</v>
      </c>
      <c r="FL46" s="84" t="s">
        <v>149</v>
      </c>
      <c r="FM46" s="84" t="s">
        <v>150</v>
      </c>
      <c r="FN46" s="84" t="s">
        <v>150</v>
      </c>
      <c r="FO46" s="84" t="str">
        <f t="shared" si="2"/>
        <v>Partial yes</v>
      </c>
      <c r="FP46" s="84" t="s">
        <v>149</v>
      </c>
      <c r="FQ46" s="84" t="s">
        <v>150</v>
      </c>
      <c r="FR46" s="84" t="s">
        <v>832</v>
      </c>
      <c r="FS46" s="84" t="str">
        <f t="shared" si="52"/>
        <v>Partial yes</v>
      </c>
      <c r="FT46" s="84" t="s">
        <v>149</v>
      </c>
      <c r="FU46" s="84" t="s">
        <v>832</v>
      </c>
      <c r="FV46" s="84" t="str">
        <f t="shared" si="53"/>
        <v>Yes</v>
      </c>
      <c r="FW46" s="84" t="str">
        <f t="shared" si="5"/>
        <v>Yes</v>
      </c>
      <c r="FX46" s="84" t="str">
        <f t="shared" si="29"/>
        <v>Yes</v>
      </c>
      <c r="FY46" s="84" t="str">
        <f t="shared" si="34"/>
        <v>No</v>
      </c>
      <c r="FZ46" s="84" t="str">
        <f t="shared" si="7"/>
        <v>Partial yes</v>
      </c>
      <c r="GA46" s="84" t="s">
        <v>149</v>
      </c>
      <c r="GB46" s="84" t="str">
        <f t="shared" si="44"/>
        <v>Yes</v>
      </c>
      <c r="GC46" s="84" t="s">
        <v>149</v>
      </c>
      <c r="GD46" s="84" t="str">
        <f t="shared" si="33"/>
        <v>Yes</v>
      </c>
      <c r="GE46" s="84" t="s">
        <v>149</v>
      </c>
      <c r="GF46" s="84" t="s">
        <v>149</v>
      </c>
      <c r="GG46" s="84" t="s">
        <v>149</v>
      </c>
      <c r="GH46" s="84" t="s">
        <v>149</v>
      </c>
      <c r="GI46" s="84" t="s">
        <v>149</v>
      </c>
      <c r="GJ46" s="84" t="s">
        <v>832</v>
      </c>
      <c r="GK46" s="84" t="str">
        <f t="shared" si="10"/>
        <v>Yes</v>
      </c>
      <c r="GL46" s="84" t="s">
        <v>149</v>
      </c>
      <c r="GM46" s="84" t="s">
        <v>149</v>
      </c>
      <c r="GN46" s="84" t="str">
        <f t="shared" si="36"/>
        <v>Yes</v>
      </c>
      <c r="GO46" s="84" t="s">
        <v>149</v>
      </c>
      <c r="GP46" s="84" t="s">
        <v>832</v>
      </c>
      <c r="GQ46" s="84" t="str">
        <f t="shared" si="47"/>
        <v>Yes</v>
      </c>
      <c r="GR46" s="84" t="s">
        <v>149</v>
      </c>
      <c r="GS46" s="84" t="str">
        <f t="shared" si="55"/>
        <v>Yes</v>
      </c>
      <c r="GT46" s="84" t="s">
        <v>149</v>
      </c>
      <c r="GU46" s="84" t="s">
        <v>149</v>
      </c>
      <c r="GV46" s="84" t="s">
        <v>149</v>
      </c>
      <c r="GW46" s="84" t="s">
        <v>149</v>
      </c>
      <c r="GX46" s="84" t="s">
        <v>150</v>
      </c>
      <c r="GY46" s="84" t="s">
        <v>149</v>
      </c>
      <c r="GZ46" s="84" t="s">
        <v>149</v>
      </c>
      <c r="HA46" s="84" t="str">
        <f t="shared" si="14"/>
        <v>Partial yes</v>
      </c>
      <c r="HB46" s="84" t="s">
        <v>149</v>
      </c>
      <c r="HC46" s="84" t="s">
        <v>149</v>
      </c>
      <c r="HD46" s="84" t="s">
        <v>149</v>
      </c>
      <c r="HE46" s="84" t="str">
        <f t="shared" si="48"/>
        <v>Yes</v>
      </c>
      <c r="HF46" s="84" t="s">
        <v>832</v>
      </c>
      <c r="HG46" s="84" t="s">
        <v>832</v>
      </c>
      <c r="HH46" s="84" t="s">
        <v>832</v>
      </c>
      <c r="HI46" s="84" t="s">
        <v>832</v>
      </c>
      <c r="HJ46" s="84" t="s">
        <v>149</v>
      </c>
      <c r="HK46" s="84" t="s">
        <v>832</v>
      </c>
      <c r="HL46" s="84" t="s">
        <v>832</v>
      </c>
      <c r="HM46" s="84" t="s">
        <v>149</v>
      </c>
      <c r="HN46" s="84" t="str">
        <f t="shared" si="49"/>
        <v>Yes</v>
      </c>
      <c r="HO46" s="84" t="s">
        <v>149</v>
      </c>
      <c r="HP46" s="84" t="str">
        <f t="shared" si="50"/>
        <v>Yes</v>
      </c>
      <c r="HQ46" s="84" t="s">
        <v>149</v>
      </c>
      <c r="HR46" s="84" t="str">
        <f t="shared" si="56"/>
        <v>Yes</v>
      </c>
      <c r="HS46" s="84" t="s">
        <v>149</v>
      </c>
      <c r="HT46" s="84" t="str">
        <f t="shared" si="45"/>
        <v>Yes</v>
      </c>
      <c r="HU46" s="84" t="s">
        <v>149</v>
      </c>
      <c r="HV46" s="84" t="s">
        <v>149</v>
      </c>
      <c r="HW46" s="100" t="s">
        <v>832</v>
      </c>
      <c r="HX46" s="84" t="s">
        <v>149</v>
      </c>
      <c r="HY46" s="84" t="s">
        <v>149</v>
      </c>
      <c r="HZ46" s="84" t="str">
        <f t="shared" si="20"/>
        <v>Partial yes</v>
      </c>
      <c r="IA46" s="84" t="s">
        <v>149</v>
      </c>
      <c r="IB46" s="84" t="s">
        <v>149</v>
      </c>
      <c r="IC46" s="84" t="s">
        <v>149</v>
      </c>
      <c r="ID46" s="84" t="str">
        <f t="shared" si="43"/>
        <v>Yes</v>
      </c>
      <c r="IE46" s="84" t="s">
        <v>832</v>
      </c>
      <c r="IF46" s="84" t="s">
        <v>832</v>
      </c>
      <c r="IG46" s="84" t="s">
        <v>832</v>
      </c>
      <c r="IH46" s="84" t="s">
        <v>832</v>
      </c>
      <c r="II46" s="84" t="s">
        <v>832</v>
      </c>
      <c r="IJ46" s="84" t="s">
        <v>149</v>
      </c>
      <c r="IK46" s="84" t="s">
        <v>149</v>
      </c>
      <c r="IL46" s="84" t="s">
        <v>149</v>
      </c>
      <c r="IM46" s="84" t="s">
        <v>150</v>
      </c>
      <c r="IN46" s="84" t="s">
        <v>149</v>
      </c>
      <c r="IP46" s="84" t="s">
        <v>150</v>
      </c>
      <c r="IR46" s="84" t="str">
        <f t="shared" si="46"/>
        <v>Partial yes</v>
      </c>
      <c r="IS46" s="84" t="s">
        <v>149</v>
      </c>
      <c r="IT46" s="84" t="s">
        <v>149</v>
      </c>
      <c r="IU46" s="84" t="s">
        <v>149</v>
      </c>
      <c r="IV46" s="84" t="str">
        <f t="shared" si="24"/>
        <v>Yes</v>
      </c>
      <c r="IW46" s="84" t="s">
        <v>149</v>
      </c>
      <c r="IX46" s="84" t="s">
        <v>149</v>
      </c>
      <c r="IY46" s="84" t="str">
        <f t="shared" si="25"/>
        <v>Yes</v>
      </c>
      <c r="IZ46" s="84" t="s">
        <v>149</v>
      </c>
      <c r="JA46" s="84" t="s">
        <v>149</v>
      </c>
      <c r="JB46" s="84" t="s">
        <v>149</v>
      </c>
      <c r="JC46" s="84" t="s">
        <v>150</v>
      </c>
      <c r="JD46" s="84" t="s">
        <v>832</v>
      </c>
      <c r="JE46" s="84" t="str">
        <f t="shared" si="27"/>
        <v>No</v>
      </c>
      <c r="JF46" s="84" t="s">
        <v>149</v>
      </c>
      <c r="JG46" s="84" t="str">
        <f>JF46</f>
        <v>Yes</v>
      </c>
      <c r="JH46" s="51" t="s">
        <v>150</v>
      </c>
    </row>
    <row r="47" spans="1:268" s="84" customFormat="1" ht="16" x14ac:dyDescent="0.25">
      <c r="A47" s="83">
        <v>54</v>
      </c>
      <c r="B47" s="84" t="s">
        <v>484</v>
      </c>
      <c r="C47" s="84" t="s">
        <v>485</v>
      </c>
      <c r="D47" s="84" t="s">
        <v>330</v>
      </c>
      <c r="E47" s="85">
        <v>44312</v>
      </c>
      <c r="F47" s="84" t="s">
        <v>486</v>
      </c>
      <c r="G47" s="84" t="s">
        <v>149</v>
      </c>
      <c r="H47" s="84" t="s">
        <v>150</v>
      </c>
      <c r="I47" s="84" t="s">
        <v>151</v>
      </c>
      <c r="J47" s="84" t="s">
        <v>202</v>
      </c>
      <c r="K47" s="86" t="s">
        <v>203</v>
      </c>
      <c r="L47" s="84" t="s">
        <v>154</v>
      </c>
      <c r="M47" s="86" t="s">
        <v>694</v>
      </c>
      <c r="N47" s="84" t="s">
        <v>156</v>
      </c>
      <c r="O47" s="86" t="s">
        <v>695</v>
      </c>
      <c r="P47" s="84" t="s">
        <v>185</v>
      </c>
      <c r="Q47" s="84" t="s">
        <v>696</v>
      </c>
      <c r="R47" s="88">
        <v>6</v>
      </c>
      <c r="S47" s="84" t="s">
        <v>697</v>
      </c>
      <c r="T47" s="88" t="s">
        <v>149</v>
      </c>
      <c r="U47" s="84" t="s">
        <v>149</v>
      </c>
      <c r="V47" s="84" t="s">
        <v>149</v>
      </c>
      <c r="W47" s="84" t="s">
        <v>150</v>
      </c>
      <c r="X47" s="84" t="s">
        <v>149</v>
      </c>
      <c r="Y47" s="84" t="s">
        <v>150</v>
      </c>
      <c r="Z47" s="84" t="s">
        <v>150</v>
      </c>
      <c r="AA47" s="89"/>
      <c r="AB47" s="84" t="s">
        <v>149</v>
      </c>
      <c r="AC47" s="84" t="s">
        <v>150</v>
      </c>
      <c r="AD47" s="84" t="s">
        <v>149</v>
      </c>
      <c r="AE47" s="84" t="s">
        <v>150</v>
      </c>
      <c r="AF47" s="89"/>
      <c r="AH47" s="90" t="s">
        <v>188</v>
      </c>
      <c r="AI47" s="146" t="s">
        <v>149</v>
      </c>
      <c r="AJ47" s="87" t="s">
        <v>150</v>
      </c>
      <c r="AL47" s="92"/>
      <c r="AM47" s="84" t="s">
        <v>150</v>
      </c>
      <c r="AQ47" s="86"/>
      <c r="AR47" s="91"/>
      <c r="AS47" s="84" t="s">
        <v>149</v>
      </c>
      <c r="AT47" s="84" t="s">
        <v>149</v>
      </c>
      <c r="AU47" s="84" t="s">
        <v>149</v>
      </c>
      <c r="AV47" s="84" t="s">
        <v>150</v>
      </c>
      <c r="AW47" s="84" t="s">
        <v>150</v>
      </c>
      <c r="AX47" s="84" t="s">
        <v>149</v>
      </c>
      <c r="AY47" s="92" t="s">
        <v>149</v>
      </c>
      <c r="AZ47" s="84" t="s">
        <v>149</v>
      </c>
      <c r="BA47" s="84" t="s">
        <v>149</v>
      </c>
      <c r="BB47" s="84" t="s">
        <v>150</v>
      </c>
      <c r="BC47" s="84" t="s">
        <v>149</v>
      </c>
      <c r="BD47" s="84" t="s">
        <v>150</v>
      </c>
      <c r="BE47" s="84" t="s">
        <v>149</v>
      </c>
      <c r="BF47" s="84" t="s">
        <v>149</v>
      </c>
      <c r="BG47" s="87" t="s">
        <v>149</v>
      </c>
      <c r="BH47" s="84" t="s">
        <v>149</v>
      </c>
      <c r="BI47" s="84" t="s">
        <v>149</v>
      </c>
      <c r="BJ47" s="86" t="s">
        <v>149</v>
      </c>
      <c r="BK47" s="84" t="s">
        <v>149</v>
      </c>
      <c r="BL47" s="84" t="s">
        <v>149</v>
      </c>
      <c r="BM47" s="87" t="s">
        <v>149</v>
      </c>
      <c r="BN47" s="84" t="s">
        <v>149</v>
      </c>
      <c r="BO47" s="84" t="s">
        <v>149</v>
      </c>
      <c r="BP47" s="84" t="s">
        <v>149</v>
      </c>
      <c r="BR47" s="84" t="s">
        <v>191</v>
      </c>
      <c r="BT47" s="87" t="s">
        <v>165</v>
      </c>
      <c r="BU47" s="84" t="s">
        <v>164</v>
      </c>
      <c r="BW47" s="92" t="s">
        <v>246</v>
      </c>
      <c r="BX47" s="86" t="s">
        <v>336</v>
      </c>
      <c r="BY47" s="84" t="s">
        <v>149</v>
      </c>
      <c r="BZ47" s="93" t="s">
        <v>605</v>
      </c>
      <c r="CA47" s="94">
        <v>29381</v>
      </c>
      <c r="CB47" s="92">
        <v>9</v>
      </c>
      <c r="CC47" s="84">
        <v>9</v>
      </c>
      <c r="CD47" s="95">
        <v>0</v>
      </c>
      <c r="CE47" s="85">
        <v>44280</v>
      </c>
      <c r="CF47" s="84" t="s">
        <v>150</v>
      </c>
      <c r="CH47" s="86"/>
      <c r="CI47" s="84" t="s">
        <v>149</v>
      </c>
      <c r="CJ47" s="92">
        <v>2</v>
      </c>
      <c r="CK47" s="84" t="s">
        <v>149</v>
      </c>
      <c r="CL47" s="92" t="s">
        <v>307</v>
      </c>
      <c r="CM47" s="92" t="s">
        <v>150</v>
      </c>
      <c r="CN47" s="96" t="s">
        <v>149</v>
      </c>
      <c r="CO47" s="84" t="s">
        <v>150</v>
      </c>
      <c r="CP47" s="84" t="s">
        <v>149</v>
      </c>
      <c r="CQ47" s="84" t="s">
        <v>193</v>
      </c>
      <c r="CR47" s="84" t="s">
        <v>150</v>
      </c>
      <c r="CS47" s="84" t="s">
        <v>150</v>
      </c>
      <c r="CU47" s="97" t="s">
        <v>698</v>
      </c>
      <c r="CV47" s="87" t="s">
        <v>150</v>
      </c>
      <c r="CW47" s="97" t="s">
        <v>150</v>
      </c>
      <c r="CX47" s="97"/>
      <c r="DC47" s="97"/>
      <c r="DD47" s="87" t="s">
        <v>150</v>
      </c>
      <c r="DE47" s="97" t="s">
        <v>150</v>
      </c>
      <c r="DF47" s="97"/>
      <c r="DJ47" s="96"/>
      <c r="DK47" s="86"/>
      <c r="DL47" s="84" t="s">
        <v>150</v>
      </c>
      <c r="DM47" s="97" t="s">
        <v>150</v>
      </c>
      <c r="DN47" s="97"/>
      <c r="DS47" s="97"/>
      <c r="DT47" s="90" t="s">
        <v>150</v>
      </c>
      <c r="DU47" s="84" t="s">
        <v>150</v>
      </c>
      <c r="DW47" s="84" t="s">
        <v>149</v>
      </c>
      <c r="DY47" s="87" t="s">
        <v>149</v>
      </c>
      <c r="DZ47" s="84" t="s">
        <v>150</v>
      </c>
      <c r="EB47" s="86" t="s">
        <v>699</v>
      </c>
      <c r="EC47" s="87" t="s">
        <v>149</v>
      </c>
      <c r="ED47" s="97" t="s">
        <v>149</v>
      </c>
      <c r="EE47" s="105" t="s">
        <v>700</v>
      </c>
      <c r="EF47" s="84" t="s">
        <v>150</v>
      </c>
      <c r="EG47" s="84" t="s">
        <v>726</v>
      </c>
      <c r="EI47" s="96" t="s">
        <v>150</v>
      </c>
      <c r="EJ47" s="97"/>
      <c r="EN47" s="96"/>
      <c r="EO47" s="96"/>
      <c r="EP47" s="95"/>
      <c r="EQ47" s="126" t="s">
        <v>149</v>
      </c>
      <c r="ER47" s="135" t="s">
        <v>166</v>
      </c>
      <c r="ES47" s="84" t="s">
        <v>166</v>
      </c>
      <c r="ET47" s="84" t="s">
        <v>166</v>
      </c>
      <c r="EU47" s="86" t="s">
        <v>171</v>
      </c>
      <c r="EV47" s="145" t="s">
        <v>166</v>
      </c>
      <c r="EW47" s="42" t="str">
        <f t="shared" ref="EW47:EW48" si="57">IF(COUNTIF(ER47:EU47,"High")&gt;0,"High",IF(COUNTIF(ER47:EU47,"Unclear")&gt;0,"Unclear","Low"))</f>
        <v>High</v>
      </c>
      <c r="EX47" s="141"/>
      <c r="EY47" s="104" t="s">
        <v>149</v>
      </c>
      <c r="EZ47" s="104" t="s">
        <v>149</v>
      </c>
      <c r="FA47" s="104" t="s">
        <v>150</v>
      </c>
      <c r="FB47" s="86" t="str">
        <f t="shared" ref="FB47:FB48" si="58">IF(COUNTIF(EY47:FA47,"Yes")=COLUMNS(EY47:FA47),"Yes",IF(COUNTIF(EY47:FA47,"Yes")=0,"No","Partial yes"))</f>
        <v>Partial yes</v>
      </c>
      <c r="FC47" s="104" t="s">
        <v>149</v>
      </c>
      <c r="FD47" s="104" t="s">
        <v>149</v>
      </c>
      <c r="FE47" s="104" t="s">
        <v>149</v>
      </c>
      <c r="FF47" s="104" t="s">
        <v>149</v>
      </c>
      <c r="FG47" s="104" t="s">
        <v>149</v>
      </c>
      <c r="FH47" s="104" t="s">
        <v>149</v>
      </c>
      <c r="FI47" s="104" t="s">
        <v>149</v>
      </c>
      <c r="FJ47" s="104" t="s">
        <v>149</v>
      </c>
      <c r="FK47" s="104" t="s">
        <v>149</v>
      </c>
      <c r="FL47" s="104" t="s">
        <v>149</v>
      </c>
      <c r="FM47" s="104" t="s">
        <v>149</v>
      </c>
      <c r="FN47" s="104" t="s">
        <v>150</v>
      </c>
      <c r="FO47" s="84" t="str">
        <f t="shared" ref="FO47:FO48" si="59">IF(COUNTIF(FC47:FN47,"Yes")=COLUMNS(FC47:FN47),"Yes",IF(COUNTIF(FC47:FN47,"Yes")=0,"No","Partial yes"))</f>
        <v>Partial yes</v>
      </c>
      <c r="FP47" s="84" t="s">
        <v>149</v>
      </c>
      <c r="FQ47" s="84" t="s">
        <v>149</v>
      </c>
      <c r="FR47" s="84" t="s">
        <v>832</v>
      </c>
      <c r="FS47" s="84" t="str">
        <f t="shared" ref="FS47:FS48" si="60">IF(COUNTIF(FP47:FQ47,"Yes")=COLUMNS(FP47:FQ47),"Yes",IF(COUNTIF(FP47:FQ47,"Yes")=0,"No","Partial yes"))</f>
        <v>Yes</v>
      </c>
      <c r="FT47" s="84" t="s">
        <v>149</v>
      </c>
      <c r="FU47" s="84" t="s">
        <v>832</v>
      </c>
      <c r="FV47" s="84" t="str">
        <f t="shared" ref="FV47:FV48" si="61">FT47</f>
        <v>Yes</v>
      </c>
      <c r="FW47" s="84" t="str">
        <f t="shared" si="5"/>
        <v>Yes</v>
      </c>
      <c r="FX47" s="84" t="str">
        <f t="shared" si="29"/>
        <v>Yes</v>
      </c>
      <c r="FY47" s="84" t="str">
        <f t="shared" si="34"/>
        <v>No</v>
      </c>
      <c r="FZ47" s="84" t="str">
        <f t="shared" ref="FZ47:FZ48" si="62">IF(COUNTIF(FW47:FY47,"Yes")=COLUMNS(FW47:FY47),"Yes",IF(COUNTIF(FW47:FY47,"Yes")=0,"No","Partial yes"))</f>
        <v>Partial yes</v>
      </c>
      <c r="GA47" s="84" t="s">
        <v>149</v>
      </c>
      <c r="GB47" s="84" t="str">
        <f t="shared" ref="GB47:GB48" si="63">GA47</f>
        <v>Yes</v>
      </c>
      <c r="GC47" s="84" t="s">
        <v>149</v>
      </c>
      <c r="GD47" s="84" t="str">
        <f t="shared" ref="GD47:GD48" si="64">GC47</f>
        <v>Yes</v>
      </c>
      <c r="GE47" s="84" t="s">
        <v>149</v>
      </c>
      <c r="GF47" s="84" t="str">
        <f t="shared" ref="GF47:GF48" si="65">GE47</f>
        <v>Yes</v>
      </c>
      <c r="GG47" s="84" t="s">
        <v>149</v>
      </c>
      <c r="GH47" s="84" t="str">
        <f t="shared" ref="GH47:GH48" si="66">GG47</f>
        <v>Yes</v>
      </c>
      <c r="GI47" s="84" t="s">
        <v>149</v>
      </c>
      <c r="GJ47" s="84" t="s">
        <v>832</v>
      </c>
      <c r="GK47" s="84" t="str">
        <f t="shared" ref="GK47:GK48" si="67">GI47</f>
        <v>Yes</v>
      </c>
      <c r="GL47" s="84" t="s">
        <v>149</v>
      </c>
      <c r="GM47" s="84" t="s">
        <v>149</v>
      </c>
      <c r="GN47" s="84" t="str">
        <f t="shared" ref="GN47:GN48" si="68">IF(COUNTIF(GL47:GM47,"Yes")=COLUMNS(GL47:GM47),"Yes",IF(COUNTIF(GL47:GM47,"Yes")=0,"No","Partial yes"))</f>
        <v>Yes</v>
      </c>
      <c r="GO47" s="84" t="s">
        <v>149</v>
      </c>
      <c r="GP47" s="84" t="s">
        <v>832</v>
      </c>
      <c r="GQ47" s="84" t="str">
        <f t="shared" ref="GQ47:GQ48" si="69">GO47</f>
        <v>Yes</v>
      </c>
      <c r="GR47" s="84" t="s">
        <v>149</v>
      </c>
      <c r="GS47" s="84" t="str">
        <f t="shared" ref="GS47:GS48" si="70">GR47</f>
        <v>Yes</v>
      </c>
      <c r="GT47" s="84" t="s">
        <v>149</v>
      </c>
      <c r="GU47" s="84" t="s">
        <v>149</v>
      </c>
      <c r="GV47" s="84" t="s">
        <v>149</v>
      </c>
      <c r="GW47" s="84" t="s">
        <v>149</v>
      </c>
      <c r="GX47" s="84" t="s">
        <v>150</v>
      </c>
      <c r="GY47" s="84" t="s">
        <v>149</v>
      </c>
      <c r="GZ47" s="84" t="s">
        <v>149</v>
      </c>
      <c r="HA47" s="84" t="str">
        <f t="shared" ref="HA47:HA48" si="71">IF(COUNTIF(GT47:GZ47,"Yes")=COLUMNS(GT47:GZ47),"Yes",IF(COUNTIF(GT47:GZ47,"Yes")=0,"No","Partial yes"))</f>
        <v>Partial yes</v>
      </c>
      <c r="HB47" s="84" t="s">
        <v>150</v>
      </c>
      <c r="HC47" s="84" t="str">
        <f t="shared" ref="HC47:HC48" si="72">HB47</f>
        <v>No</v>
      </c>
      <c r="HD47" s="84" t="s">
        <v>149</v>
      </c>
      <c r="HE47" s="84" t="str">
        <f t="shared" ref="HE47:HE48" si="73">HD47</f>
        <v>Yes</v>
      </c>
      <c r="HF47" s="84" t="s">
        <v>832</v>
      </c>
      <c r="HG47" s="84" t="s">
        <v>832</v>
      </c>
      <c r="HH47" s="84" t="s">
        <v>832</v>
      </c>
      <c r="HI47" s="84" t="s">
        <v>832</v>
      </c>
      <c r="HJ47" s="84" t="s">
        <v>149</v>
      </c>
      <c r="HK47" s="84" t="s">
        <v>832</v>
      </c>
      <c r="HL47" s="84" t="s">
        <v>832</v>
      </c>
      <c r="HM47" s="84" t="s">
        <v>149</v>
      </c>
      <c r="HN47" s="84" t="str">
        <f t="shared" ref="HN47:HN48" si="74">IF(AND(HJ47="Yes",HM47="Yes"),"Yes",IF(OR(HJ47="Yes",HM47="Yes"),"Partial yes","No"))</f>
        <v>Yes</v>
      </c>
      <c r="HO47" s="84" t="s">
        <v>149</v>
      </c>
      <c r="HP47" s="84" t="str">
        <f t="shared" ref="HP47:HP48" si="75">HO47</f>
        <v>Yes</v>
      </c>
      <c r="HQ47" s="84" t="s">
        <v>149</v>
      </c>
      <c r="HR47" s="84" t="str">
        <f t="shared" ref="HR47:HR48" si="76">HQ47</f>
        <v>Yes</v>
      </c>
      <c r="HS47" s="84" t="s">
        <v>149</v>
      </c>
      <c r="HT47" s="84" t="str">
        <f t="shared" ref="HT47:HT48" si="77">HS47</f>
        <v>Yes</v>
      </c>
      <c r="HU47" s="84" t="s">
        <v>149</v>
      </c>
      <c r="HV47" s="84" t="s">
        <v>149</v>
      </c>
      <c r="HW47" s="100" t="s">
        <v>832</v>
      </c>
      <c r="HX47" s="84" t="s">
        <v>149</v>
      </c>
      <c r="HY47" s="84" t="s">
        <v>149</v>
      </c>
      <c r="HZ47" s="84" t="str">
        <f t="shared" ref="HZ47:HZ48" si="78">IF(COUNTIF(HU47:HY47,"Yes")=COLUMNS(HU47:HY47),"Yes",IF(COUNTIF(HU47:HY47,"Yes")=0,"No","Partial yes"))</f>
        <v>Partial yes</v>
      </c>
      <c r="IA47" s="84" t="s">
        <v>149</v>
      </c>
      <c r="IB47" s="84" t="str">
        <f t="shared" ref="IB47:IB48" si="79">IA47</f>
        <v>Yes</v>
      </c>
      <c r="IC47" s="84" t="s">
        <v>149</v>
      </c>
      <c r="ID47" s="84" t="str">
        <f t="shared" ref="ID47:ID48" si="80">IC47</f>
        <v>Yes</v>
      </c>
      <c r="IE47" s="84" t="s">
        <v>832</v>
      </c>
      <c r="IF47" s="84" t="s">
        <v>832</v>
      </c>
      <c r="IG47" s="84" t="s">
        <v>832</v>
      </c>
      <c r="IH47" s="84" t="s">
        <v>832</v>
      </c>
      <c r="II47" s="84" t="s">
        <v>832</v>
      </c>
      <c r="IJ47" s="84" t="s">
        <v>149</v>
      </c>
      <c r="IK47" s="84" t="s">
        <v>149</v>
      </c>
      <c r="IL47" s="84" t="s">
        <v>149</v>
      </c>
      <c r="IM47" s="84" t="s">
        <v>149</v>
      </c>
      <c r="IN47" s="84" t="s">
        <v>149</v>
      </c>
      <c r="IP47" s="84" t="s">
        <v>149</v>
      </c>
      <c r="IR47" s="84" t="str">
        <f t="shared" ref="IR47:IR48" si="81">IF(AND(COUNTIF(IJ47:IN47,"Yes")=COLUMNS(IJ47:IN47),IP47="Yes"),"Yes",
   IF(OR(COUNTIF(IJ47:IN47,"Yes")&gt;0,IP47="Yes"),"Partial yes",
      "No"))</f>
        <v>Yes</v>
      </c>
      <c r="IS47" s="84" t="s">
        <v>150</v>
      </c>
      <c r="IT47" s="84" t="s">
        <v>149</v>
      </c>
      <c r="IU47" s="84" t="s">
        <v>150</v>
      </c>
      <c r="IV47" s="84" t="str">
        <f t="shared" ref="IV47:IV48" si="82">IF(COUNTIF(IS47:IU47,"Yes")=COLUMNS(IS47:IU47),"Yes",IF(COUNTIF(IS47:IU47,"Yes")=0,"No","Partial yes"))</f>
        <v>Partial yes</v>
      </c>
      <c r="IW47" s="84" t="s">
        <v>149</v>
      </c>
      <c r="IX47" s="84" t="s">
        <v>149</v>
      </c>
      <c r="IY47" s="84" t="str">
        <f t="shared" ref="IY47:IY48" si="83">IF(COUNTIF(IW47:IX47,"Yes")=COLUMNS(IW47:IX47),"Yes",IF(COUNTIF(IW47:IX47,"Yes")=0,"No","Partial yes"))</f>
        <v>Yes</v>
      </c>
      <c r="IZ47" s="84" t="s">
        <v>149</v>
      </c>
      <c r="JA47" s="84" t="s">
        <v>149</v>
      </c>
      <c r="JB47" s="84" t="str">
        <f t="shared" ref="JB47:JB48" si="84">IF(COUNTIF(IZ47:JA47,"Yes")=COLUMNS(IZ47:JA47),"Yes",IF(COUNTIF(IZ47:JA47,"Yes")=0,"No","Partial yes"))</f>
        <v>Yes</v>
      </c>
      <c r="JC47" s="84" t="s">
        <v>149</v>
      </c>
      <c r="JD47" s="84" t="s">
        <v>832</v>
      </c>
      <c r="JE47" s="84" t="str">
        <f t="shared" ref="JE47:JE48" si="85">JC47</f>
        <v>Yes</v>
      </c>
      <c r="JF47" s="84" t="s">
        <v>149</v>
      </c>
      <c r="JG47" s="84" t="str">
        <f t="shared" ref="JG47:JG48" si="86">JF47</f>
        <v>Yes</v>
      </c>
      <c r="JH47" s="84" t="s">
        <v>149</v>
      </c>
    </row>
    <row r="48" spans="1:268" s="107" customFormat="1" ht="16" x14ac:dyDescent="0.25">
      <c r="A48" s="106">
        <v>55</v>
      </c>
      <c r="B48" s="107" t="s">
        <v>487</v>
      </c>
      <c r="C48" s="107" t="s">
        <v>488</v>
      </c>
      <c r="D48" s="107" t="s">
        <v>489</v>
      </c>
      <c r="E48" s="108">
        <v>44539</v>
      </c>
      <c r="F48" s="107" t="s">
        <v>490</v>
      </c>
      <c r="G48" s="107" t="s">
        <v>149</v>
      </c>
      <c r="H48" s="107" t="s">
        <v>150</v>
      </c>
      <c r="I48" s="107" t="s">
        <v>151</v>
      </c>
      <c r="J48" s="107" t="s">
        <v>202</v>
      </c>
      <c r="K48" s="110" t="s">
        <v>203</v>
      </c>
      <c r="L48" s="107" t="s">
        <v>173</v>
      </c>
      <c r="M48" s="110" t="s">
        <v>701</v>
      </c>
      <c r="N48" s="107" t="s">
        <v>268</v>
      </c>
      <c r="O48" s="110" t="s">
        <v>268</v>
      </c>
      <c r="P48" s="107" t="s">
        <v>158</v>
      </c>
      <c r="Q48" s="107" t="s">
        <v>206</v>
      </c>
      <c r="R48" s="111"/>
      <c r="T48" s="111" t="s">
        <v>150</v>
      </c>
      <c r="U48" s="107" t="s">
        <v>149</v>
      </c>
      <c r="V48" s="107" t="s">
        <v>150</v>
      </c>
      <c r="W48" s="107" t="s">
        <v>150</v>
      </c>
      <c r="X48" s="107" t="s">
        <v>150</v>
      </c>
      <c r="Y48" s="107" t="s">
        <v>150</v>
      </c>
      <c r="Z48" s="107" t="s">
        <v>150</v>
      </c>
      <c r="AA48" s="112"/>
      <c r="AB48" s="107" t="s">
        <v>149</v>
      </c>
      <c r="AC48" s="107" t="s">
        <v>150</v>
      </c>
      <c r="AD48" s="107" t="s">
        <v>150</v>
      </c>
      <c r="AE48" s="107" t="s">
        <v>150</v>
      </c>
      <c r="AF48" s="112"/>
      <c r="AH48" s="113" t="s">
        <v>188</v>
      </c>
      <c r="AI48" s="146" t="s">
        <v>149</v>
      </c>
      <c r="AJ48" s="153" t="s">
        <v>149</v>
      </c>
      <c r="AK48" s="154" t="s">
        <v>692</v>
      </c>
      <c r="AL48" s="155">
        <v>44454</v>
      </c>
      <c r="AM48" s="107" t="s">
        <v>149</v>
      </c>
      <c r="AN48" s="108">
        <v>44207</v>
      </c>
      <c r="AO48" s="107" t="s">
        <v>149</v>
      </c>
      <c r="AP48" s="107" t="s">
        <v>693</v>
      </c>
      <c r="AQ48" s="110"/>
      <c r="AR48" s="114"/>
      <c r="AS48" s="107" t="s">
        <v>149</v>
      </c>
      <c r="AT48" s="107" t="s">
        <v>149</v>
      </c>
      <c r="AU48" s="107" t="s">
        <v>149</v>
      </c>
      <c r="AV48" s="107" t="s">
        <v>150</v>
      </c>
      <c r="AW48" s="107" t="s">
        <v>150</v>
      </c>
      <c r="AX48" s="107" t="s">
        <v>149</v>
      </c>
      <c r="AY48" s="115" t="s">
        <v>149</v>
      </c>
      <c r="AZ48" s="107" t="s">
        <v>149</v>
      </c>
      <c r="BA48" s="107" t="s">
        <v>150</v>
      </c>
      <c r="BB48" s="107" t="s">
        <v>150</v>
      </c>
      <c r="BC48" s="107" t="s">
        <v>150</v>
      </c>
      <c r="BD48" s="107" t="s">
        <v>150</v>
      </c>
      <c r="BE48" s="107" t="s">
        <v>149</v>
      </c>
      <c r="BF48" s="107" t="s">
        <v>150</v>
      </c>
      <c r="BG48" s="109" t="s">
        <v>149</v>
      </c>
      <c r="BH48" s="107" t="s">
        <v>149</v>
      </c>
      <c r="BI48" s="107" t="s">
        <v>149</v>
      </c>
      <c r="BJ48" s="110" t="s">
        <v>149</v>
      </c>
      <c r="BK48" s="107" t="s">
        <v>149</v>
      </c>
      <c r="BL48" s="107" t="s">
        <v>149</v>
      </c>
      <c r="BM48" s="109" t="s">
        <v>149</v>
      </c>
      <c r="BN48" s="107" t="s">
        <v>149</v>
      </c>
      <c r="BO48" s="107" t="s">
        <v>149</v>
      </c>
      <c r="BP48" s="107" t="s">
        <v>149</v>
      </c>
      <c r="BR48" s="107" t="s">
        <v>149</v>
      </c>
      <c r="BT48" s="109" t="s">
        <v>163</v>
      </c>
      <c r="BU48" s="107" t="s">
        <v>164</v>
      </c>
      <c r="BW48" s="115"/>
      <c r="BX48" s="110" t="s">
        <v>165</v>
      </c>
      <c r="BY48" s="107" t="s">
        <v>150</v>
      </c>
      <c r="BZ48" s="116" t="s">
        <v>605</v>
      </c>
      <c r="CA48" s="117">
        <v>459</v>
      </c>
      <c r="CB48" s="115">
        <v>9</v>
      </c>
      <c r="CC48" s="107">
        <v>4</v>
      </c>
      <c r="CD48" s="118">
        <v>5</v>
      </c>
      <c r="CE48" s="108">
        <v>44230</v>
      </c>
      <c r="CF48" s="107" t="s">
        <v>150</v>
      </c>
      <c r="CH48" s="110"/>
      <c r="CI48" s="107" t="s">
        <v>150</v>
      </c>
      <c r="CJ48" s="115"/>
      <c r="CK48" s="107" t="s">
        <v>149</v>
      </c>
      <c r="CL48" s="115" t="s">
        <v>167</v>
      </c>
      <c r="CM48" s="115" t="s">
        <v>150</v>
      </c>
      <c r="CN48" s="119" t="s">
        <v>150</v>
      </c>
      <c r="CU48" s="120" t="s">
        <v>702</v>
      </c>
      <c r="CV48" s="109" t="s">
        <v>150</v>
      </c>
      <c r="CW48" s="120" t="s">
        <v>150</v>
      </c>
      <c r="CX48" s="120"/>
      <c r="DC48" s="120"/>
      <c r="DD48" s="109" t="s">
        <v>150</v>
      </c>
      <c r="DE48" s="120" t="s">
        <v>150</v>
      </c>
      <c r="DF48" s="120"/>
      <c r="DJ48" s="119"/>
      <c r="DK48" s="110"/>
      <c r="DL48" s="107" t="s">
        <v>150</v>
      </c>
      <c r="DM48" s="120" t="s">
        <v>150</v>
      </c>
      <c r="DN48" s="120"/>
      <c r="DS48" s="120"/>
      <c r="DT48" s="113" t="s">
        <v>150</v>
      </c>
      <c r="DU48" s="107" t="s">
        <v>149</v>
      </c>
      <c r="DV48" s="107" t="s">
        <v>167</v>
      </c>
      <c r="DY48" s="109" t="s">
        <v>150</v>
      </c>
      <c r="DZ48" s="107" t="s">
        <v>150</v>
      </c>
      <c r="EB48" s="110"/>
      <c r="EC48" s="109" t="s">
        <v>149</v>
      </c>
      <c r="ED48" s="120" t="s">
        <v>150</v>
      </c>
      <c r="EF48" s="107" t="s">
        <v>222</v>
      </c>
      <c r="EG48" s="107" t="s">
        <v>150</v>
      </c>
      <c r="EI48" s="119" t="s">
        <v>150</v>
      </c>
      <c r="EJ48" s="120"/>
      <c r="EN48" s="119"/>
      <c r="EO48" s="119"/>
      <c r="EP48" s="118"/>
      <c r="EQ48" s="127" t="s">
        <v>149</v>
      </c>
      <c r="ER48" s="138" t="s">
        <v>166</v>
      </c>
      <c r="ES48" s="107" t="s">
        <v>171</v>
      </c>
      <c r="ET48" s="107" t="s">
        <v>166</v>
      </c>
      <c r="EU48" s="110" t="s">
        <v>171</v>
      </c>
      <c r="EV48" s="118" t="s">
        <v>171</v>
      </c>
      <c r="EW48" s="146" t="str">
        <f t="shared" si="57"/>
        <v>High</v>
      </c>
      <c r="EX48" s="141"/>
      <c r="EY48" s="107" t="s">
        <v>149</v>
      </c>
      <c r="EZ48" s="107" t="s">
        <v>149</v>
      </c>
      <c r="FA48" s="107" t="s">
        <v>149</v>
      </c>
      <c r="FB48" s="110" t="str">
        <f t="shared" si="58"/>
        <v>Yes</v>
      </c>
      <c r="FC48" s="121" t="s">
        <v>149</v>
      </c>
      <c r="FD48" s="121" t="s">
        <v>149</v>
      </c>
      <c r="FE48" s="121" t="s">
        <v>150</v>
      </c>
      <c r="FF48" s="121" t="s">
        <v>150</v>
      </c>
      <c r="FG48" s="121" t="s">
        <v>149</v>
      </c>
      <c r="FH48" s="121" t="s">
        <v>149</v>
      </c>
      <c r="FI48" s="121" t="s">
        <v>149</v>
      </c>
      <c r="FJ48" s="121" t="s">
        <v>149</v>
      </c>
      <c r="FK48" s="121" t="s">
        <v>149</v>
      </c>
      <c r="FL48" s="121" t="s">
        <v>149</v>
      </c>
      <c r="FM48" s="121" t="s">
        <v>150</v>
      </c>
      <c r="FN48" s="107" t="s">
        <v>150</v>
      </c>
      <c r="FO48" s="107" t="str">
        <f t="shared" si="59"/>
        <v>Partial yes</v>
      </c>
      <c r="FP48" s="121" t="s">
        <v>149</v>
      </c>
      <c r="FQ48" s="121" t="s">
        <v>149</v>
      </c>
      <c r="FR48" s="107" t="s">
        <v>832</v>
      </c>
      <c r="FS48" s="107" t="str">
        <f t="shared" si="60"/>
        <v>Yes</v>
      </c>
      <c r="FT48" s="121" t="s">
        <v>149</v>
      </c>
      <c r="FU48" s="107" t="s">
        <v>832</v>
      </c>
      <c r="FV48" s="107" t="str">
        <f t="shared" si="61"/>
        <v>Yes</v>
      </c>
      <c r="FW48" s="107" t="str">
        <f t="shared" si="5"/>
        <v>Yes</v>
      </c>
      <c r="FX48" s="107" t="str">
        <f t="shared" si="29"/>
        <v>Yes</v>
      </c>
      <c r="FY48" s="107" t="str">
        <f t="shared" si="34"/>
        <v>No</v>
      </c>
      <c r="FZ48" s="107" t="str">
        <f t="shared" si="62"/>
        <v>Partial yes</v>
      </c>
      <c r="GA48" s="121" t="s">
        <v>149</v>
      </c>
      <c r="GB48" s="107" t="str">
        <f t="shared" si="63"/>
        <v>Yes</v>
      </c>
      <c r="GC48" s="121" t="s">
        <v>149</v>
      </c>
      <c r="GD48" s="107" t="str">
        <f t="shared" si="64"/>
        <v>Yes</v>
      </c>
      <c r="GE48" s="121" t="s">
        <v>149</v>
      </c>
      <c r="GF48" s="107" t="str">
        <f t="shared" si="65"/>
        <v>Yes</v>
      </c>
      <c r="GG48" s="121" t="s">
        <v>149</v>
      </c>
      <c r="GH48" s="107" t="str">
        <f t="shared" si="66"/>
        <v>Yes</v>
      </c>
      <c r="GI48" s="121" t="s">
        <v>149</v>
      </c>
      <c r="GJ48" s="107" t="s">
        <v>832</v>
      </c>
      <c r="GK48" s="107" t="str">
        <f t="shared" si="67"/>
        <v>Yes</v>
      </c>
      <c r="GL48" s="121" t="s">
        <v>149</v>
      </c>
      <c r="GM48" s="121" t="s">
        <v>149</v>
      </c>
      <c r="GN48" s="107" t="str">
        <f t="shared" si="68"/>
        <v>Yes</v>
      </c>
      <c r="GO48" s="121" t="s">
        <v>149</v>
      </c>
      <c r="GP48" s="107" t="s">
        <v>832</v>
      </c>
      <c r="GQ48" s="107" t="str">
        <f t="shared" si="69"/>
        <v>Yes</v>
      </c>
      <c r="GR48" s="121" t="s">
        <v>149</v>
      </c>
      <c r="GS48" s="107" t="str">
        <f t="shared" si="70"/>
        <v>Yes</v>
      </c>
      <c r="GT48" s="121" t="s">
        <v>149</v>
      </c>
      <c r="GU48" s="121" t="s">
        <v>149</v>
      </c>
      <c r="GV48" s="121" t="s">
        <v>149</v>
      </c>
      <c r="GW48" s="121" t="s">
        <v>149</v>
      </c>
      <c r="GX48" s="107" t="s">
        <v>150</v>
      </c>
      <c r="GY48" s="107" t="s">
        <v>149</v>
      </c>
      <c r="GZ48" s="107" t="s">
        <v>150</v>
      </c>
      <c r="HA48" s="107" t="str">
        <f t="shared" si="71"/>
        <v>Partial yes</v>
      </c>
      <c r="HB48" s="107" t="s">
        <v>149</v>
      </c>
      <c r="HC48" s="107" t="str">
        <f t="shared" si="72"/>
        <v>Yes</v>
      </c>
      <c r="HD48" s="107" t="s">
        <v>150</v>
      </c>
      <c r="HE48" s="107" t="str">
        <f t="shared" si="73"/>
        <v>No</v>
      </c>
      <c r="HF48" s="107" t="s">
        <v>832</v>
      </c>
      <c r="HG48" s="107" t="s">
        <v>832</v>
      </c>
      <c r="HH48" s="107" t="s">
        <v>832</v>
      </c>
      <c r="HI48" s="107" t="s">
        <v>832</v>
      </c>
      <c r="HJ48" s="107" t="s">
        <v>149</v>
      </c>
      <c r="HK48" s="107" t="s">
        <v>832</v>
      </c>
      <c r="HL48" s="107" t="s">
        <v>832</v>
      </c>
      <c r="HM48" s="107" t="s">
        <v>149</v>
      </c>
      <c r="HN48" s="107" t="str">
        <f t="shared" si="74"/>
        <v>Yes</v>
      </c>
      <c r="HO48" s="107" t="s">
        <v>149</v>
      </c>
      <c r="HP48" s="107" t="str">
        <f t="shared" si="75"/>
        <v>Yes</v>
      </c>
      <c r="HQ48" s="107" t="s">
        <v>149</v>
      </c>
      <c r="HR48" s="107" t="str">
        <f t="shared" si="76"/>
        <v>Yes</v>
      </c>
      <c r="HS48" s="107" t="s">
        <v>149</v>
      </c>
      <c r="HT48" s="107" t="str">
        <f t="shared" si="77"/>
        <v>Yes</v>
      </c>
      <c r="HU48" s="107" t="s">
        <v>149</v>
      </c>
      <c r="HV48" s="107" t="s">
        <v>149</v>
      </c>
      <c r="HW48" s="122" t="s">
        <v>832</v>
      </c>
      <c r="HX48" s="107" t="s">
        <v>149</v>
      </c>
      <c r="HY48" s="107" t="s">
        <v>150</v>
      </c>
      <c r="HZ48" s="107" t="str">
        <f t="shared" si="78"/>
        <v>Partial yes</v>
      </c>
      <c r="IA48" s="107" t="s">
        <v>149</v>
      </c>
      <c r="IB48" s="107" t="str">
        <f t="shared" si="79"/>
        <v>Yes</v>
      </c>
      <c r="IC48" s="107" t="s">
        <v>150</v>
      </c>
      <c r="ID48" s="107" t="str">
        <f t="shared" si="80"/>
        <v>No</v>
      </c>
      <c r="IE48" s="107" t="s">
        <v>832</v>
      </c>
      <c r="IF48" s="107" t="s">
        <v>832</v>
      </c>
      <c r="IG48" s="107" t="s">
        <v>832</v>
      </c>
      <c r="IH48" s="107" t="s">
        <v>832</v>
      </c>
      <c r="II48" s="107" t="s">
        <v>832</v>
      </c>
      <c r="IJ48" s="121" t="s">
        <v>149</v>
      </c>
      <c r="IK48" s="121" t="s">
        <v>149</v>
      </c>
      <c r="IL48" s="121" t="s">
        <v>149</v>
      </c>
      <c r="IM48" s="121" t="s">
        <v>150</v>
      </c>
      <c r="IN48" s="121" t="s">
        <v>149</v>
      </c>
      <c r="IP48" s="107" t="s">
        <v>149</v>
      </c>
      <c r="IR48" s="107" t="str">
        <f t="shared" si="81"/>
        <v>Partial yes</v>
      </c>
      <c r="IS48" s="121" t="s">
        <v>149</v>
      </c>
      <c r="IT48" s="121" t="s">
        <v>149</v>
      </c>
      <c r="IU48" s="121" t="s">
        <v>150</v>
      </c>
      <c r="IV48" s="107" t="str">
        <f t="shared" si="82"/>
        <v>Partial yes</v>
      </c>
      <c r="IW48" s="107" t="s">
        <v>149</v>
      </c>
      <c r="IX48" s="107" t="s">
        <v>149</v>
      </c>
      <c r="IY48" s="107" t="str">
        <f t="shared" si="83"/>
        <v>Yes</v>
      </c>
      <c r="IZ48" s="107" t="s">
        <v>149</v>
      </c>
      <c r="JA48" s="107" t="s">
        <v>149</v>
      </c>
      <c r="JB48" s="107" t="str">
        <f t="shared" si="84"/>
        <v>Yes</v>
      </c>
      <c r="JC48" s="107" t="s">
        <v>149</v>
      </c>
      <c r="JD48" s="107" t="s">
        <v>832</v>
      </c>
      <c r="JE48" s="107" t="str">
        <f t="shared" si="85"/>
        <v>Yes</v>
      </c>
      <c r="JF48" s="107" t="s">
        <v>149</v>
      </c>
      <c r="JG48" s="107" t="str">
        <f t="shared" si="86"/>
        <v>Yes</v>
      </c>
      <c r="JH48" s="51" t="s">
        <v>150</v>
      </c>
    </row>
  </sheetData>
  <autoFilter ref="A1:JH48" xr:uid="{8973D6D8-333D-4ED0-8184-DAF8986229E9}"/>
  <phoneticPr fontId="4" type="noConversion"/>
  <conditionalFormatting sqref="BL6">
    <cfRule type="expression" dxfId="0" priority="1">
      <formula>$BP6="No"</formula>
    </cfRule>
  </conditionalFormatting>
  <dataValidations count="30">
    <dataValidation type="list" allowBlank="1" showInputMessage="1" showErrorMessage="1" sqref="DV41" xr:uid="{71B352B4-4A6B-48A2-BCB2-EF05FCC26A02}">
      <formula1>"1 week,2 weeks,3 weeks,1 month,2 months,3 months, 4 months, 5 months,6 months,7 months,8 months,9 months,10 months,11 months,1 year,2 years,5 years"</formula1>
    </dataValidation>
    <dataValidation type="whole" allowBlank="1" showInputMessage="1" showErrorMessage="1" sqref="R48 R2:R45" xr:uid="{EE0C1D4E-A2C8-45EB-9BB6-82B53050C89A}">
      <formula1>0</formula1>
      <formula2>55555</formula2>
    </dataValidation>
    <dataValidation type="list" allowBlank="1" showInputMessage="1" showErrorMessage="1" sqref="BT48 BT2:BT45" xr:uid="{E5E16CB6-48B7-48F1-BE39-56E3C6C59BF0}">
      <formula1>"Conventional,Network,Both"</formula1>
    </dataValidation>
    <dataValidation type="list" allowBlank="1" showInputMessage="1" showErrorMessage="1" sqref="BU48 BU2:BU45" xr:uid="{8E2342FF-A118-4CDC-8E57-E89CBFEF40CE}">
      <formula1>"Fixed effects only,Random effects only,Both,Other,Not reported"</formula1>
    </dataValidation>
    <dataValidation type="list" allowBlank="1" showInputMessage="1" showErrorMessage="1" sqref="BR48 BR2:BR45" xr:uid="{E5EF71E1-95BC-49B9-959F-82DEE6FEA41C}">
      <formula1>"Yes,No,No NR Studies"</formula1>
    </dataValidation>
    <dataValidation type="list" allowBlank="1" showInputMessage="1" showErrorMessage="1" sqref="AH48 AH2:AH45" xr:uid="{2E60F629-80A9-4037-9F6D-19E70249F944}">
      <formula1>"Private,Public,Both,No funding,Not reported"</formula1>
    </dataValidation>
    <dataValidation type="list" allowBlank="1" showInputMessage="1" showErrorMessage="1" sqref="L48 L2:L45" xr:uid="{BB23DC2D-E752-4583-83FF-03417946825E}">
      <formula1>"Pharmacological only,Non-Pharmacological only,Both"</formula1>
    </dataValidation>
    <dataValidation type="whole" allowBlank="1" showInputMessage="1" showErrorMessage="1" sqref="A2:A45 A48" xr:uid="{B46E5474-C95A-4BA3-8FC9-74BDCA0EEFE8}">
      <formula1>1</formula1>
      <formula2>100</formula2>
    </dataValidation>
    <dataValidation type="whole" allowBlank="1" showInputMessage="1" showErrorMessage="1" sqref="CI48 CJ2:CJ45" xr:uid="{F43A082C-9233-49D0-9BD2-88F745716A6C}">
      <formula1>0</formula1>
      <formula2>15</formula2>
    </dataValidation>
    <dataValidation type="list" allowBlank="1" showInputMessage="1" showErrorMessage="1" sqref="EF27 EE48" xr:uid="{60A3570A-1E7C-4691-8AD3-949FAE354087}">
      <formula1>"Yes always,When new data become available,Only if change in result,No"</formula1>
    </dataValidation>
    <dataValidation type="list" allowBlank="1" showInputMessage="1" showErrorMessage="1" sqref="BX48 BX27:BX45" xr:uid="{6FCB678F-0924-44E9-86DE-B398A80D694F}">
      <formula1>"I^2 only,Cochran's Q test only,Both,Node splitting models,Not reported"</formula1>
    </dataValidation>
    <dataValidation type="whole" allowBlank="1" showInputMessage="1" showErrorMessage="1" sqref="CA21:CA26 CC11:CD45 CA11:CA19 CA27:CB45 CB11:CB26 CA2:CB10 BZ48:CC48" xr:uid="{A3BD113E-EA6A-4DEC-9F8A-FDB2B5C7C386}">
      <formula1>0</formula1>
      <formula2>50000000</formula2>
    </dataValidation>
    <dataValidation allowBlank="1" showInputMessage="1" showErrorMessage="1" sqref="AP3 S3" xr:uid="{38D24699-8456-4252-82C1-2804036AFD72}"/>
    <dataValidation type="whole" allowBlank="1" showInputMessage="1" showErrorMessage="1" sqref="CD3" xr:uid="{8F002588-1B61-4246-B17B-88D3EE1DB48D}">
      <formula1>0</formula1>
      <formula2>1000000000000000</formula2>
    </dataValidation>
    <dataValidation type="list" allowBlank="1" showInputMessage="1" showErrorMessage="1" sqref="EF2:EF26 EF28:EF45" xr:uid="{8FAA7D72-EE2B-423C-AB48-F7D3C81E16A7}">
      <formula1>"Yes always,Only if change in result,No"</formula1>
    </dataValidation>
    <dataValidation type="list" allowBlank="1" showInputMessage="1" showErrorMessage="1" sqref="DY48 DZ2:DZ45" xr:uid="{84B21094-957A-4F85-83D3-B392C6F26E7A}">
      <formula1>"No,Among members of the collaborative process only,For any researcher,Public,Unclear"</formula1>
    </dataValidation>
    <dataValidation type="list" allowBlank="1" showInputMessage="1" showErrorMessage="1" sqref="DU48 DV2:DV40 DV42:DV45" xr:uid="{49C31AF1-1053-47A3-8C00-18C023AC5C9E}">
      <formula1>"1 week,2 weeks,3 weeks,1 month,2 months,3 months, 4 months, 5 months,6 months,7 months,8 months,9 months,10 months, 11 months, 1 year, 2 years"</formula1>
    </dataValidation>
    <dataValidation type="list" allowBlank="1" showInputMessage="1" showErrorMessage="1" sqref="CK48 CL2:CL45" xr:uid="{4EFC83C6-F34F-4EC7-B89B-F2800032547F}">
      <formula1>"1 day,1 week,2 weeks,3 weeks,1 month,2 months,3 months, 4 months, 5 months,6 months,7 months,8 months,9 months,10 months, 11 months, 1 year, 2 years"</formula1>
    </dataValidation>
    <dataValidation type="whole" allowBlank="1" showInputMessage="1" showErrorMessage="1" sqref="CC2:CD2 CC3 CC4:CD10" xr:uid="{86EEE746-A243-4D25-B95E-05E079D6486F}">
      <formula1>0</formula1>
      <formula2>1000000</formula2>
    </dataValidation>
    <dataValidation type="list" allowBlank="1" showInputMessage="1" showErrorMessage="1" sqref="CP48 DF48 CX48 DN48 CY2:CY3 CQ2:CQ45 DO2:DO45 DG2:DG45 CY5:CY45" xr:uid="{632A33FC-48F9-4A9D-9326-2F50F49992A0}">
      <formula1>"LLM,Machine Learning,Both,Other"</formula1>
    </dataValidation>
    <dataValidation type="date" allowBlank="1" showInputMessage="1" showErrorMessage="1" sqref="CD48 CF48 CG2:CG45 CE2:CE45" xr:uid="{2329B258-11C6-4450-9CBA-D9633B294C55}">
      <formula1>40179</formula1>
      <formula2>45747</formula2>
    </dataValidation>
    <dataValidation type="list" allowBlank="1" showInputMessage="1" showErrorMessage="1" sqref="AO2:AP2 DW2 DB4 EJ6:EN6 DV3 CY4:CZ4 BJ35 BF40:BI40 AC41:AE41 AB48:AE48 G48:H48 BY48 AJ2:AJ45 AO48 AM48 DK48:DM48 EB48:EC48 CR48 CZ48 DX48 CL48:CO48 CH48 CE48 EF48 DP48 DH48 CU48:CW48 CJ48 EH48:EL48 DC48:DE48 DS48:DT48 DV48 EC44:ED45 EI2:EM4 EJ5:EM5 AO3:AO11 EI5:EI26 T2:Z26 EJ7:EM26 AB42:AE45 EC2:ED39 AB2:AE40 BK35:BP40 BE46:BE47 T35:Z45 AO13:AO45 CS2:CS45 CI2:CI45 CF2:CF45 JC2:JC1048576 BY2:BY45 G2:H45 AM2:AM45 DL2:DN45 DD2:DF45 CK2:CK45 CV2:CX45 DI2:DI45 DQ2:DQ45 AS2:BE45 CM2:CP45 DY2:DY45 DA2:DA45 DT2:DU45 DW4:DW45 EI27:EM45 ED41:ED42 EC40:EC43 BF35:BH35 BF2:BP34 BF41:BP45 BF36:BJ39 AS48:BP48 EG2:EG46 IJ2:IQ17 IJ18:IM18 FP2:FQ47 GE2:GE47 HX2:HY46 GI2:GI47 JF48 IP48 FN48 JA2:JA47 GG2:GG47 FT2:FT47 GA2:GA47 GC2:GC47 GL2:GM47 GR2:GR47 GO2:GO47 EY2:FA40 FC2:FN40 IS2:IU41 IJ19:IN41 FC42 FN43 GT2:GZ43 IJ43:IN44 IS43:IS47 EY46:FA46 FC46:FN46 HO2:HO46 HQ2:HQ46 HS2:HS46 GT45:GW47 HX48:HY48 IA2:IA46 IC2:IC46 IJ46:IN46 IO18:IO48 IQ18:IQ48 IP18:IP46 IU43:IU47 GX45:GZ48 IT43:IT46 FT49:FT1048576 IZ2:IZ46 JG2:JG48 JF2:JF46 GO49:GO1048576 JF49:JG1048576 HU48:HV48 HU2:HV46 GL49:GM1048576 GA49:GA1048576 FC49:FN1048576 GR49:GR1048576 HU49:HY1048576 IS49:IU1048576 IJ49:IQ1048576 GC49:GC1048576 GE49:GE1048576 GG49:GG1048576 FP49:FQ1048576 GI49:GI1048576 GT49:GZ1048576 HD2:HD1048576 HB2:HB1048576 IZ48:JA1048576 HJ2:HJ1048576 IW2:IX1048576 HO48:HO1048576 HQ48:HQ1048576 FX2:FX1048576 HS48:HS1048576 IA48:IA1048576 EY48:FA1048576 IC48:IC1048576 AJ48" xr:uid="{C7E7D55E-E398-482F-9340-B54EA95C6F2B}">
      <formula1>"Yes,No"</formula1>
    </dataValidation>
    <dataValidation type="list" allowBlank="1" showInputMessage="1" showErrorMessage="1" sqref="P48 P2:P45" xr:uid="{50F8814F-3A01-40C7-9E02-788B50B79F62}">
      <formula1>"Single,Composite,Multiple"</formula1>
    </dataValidation>
    <dataValidation type="date" allowBlank="1" showInputMessage="1" showErrorMessage="1" sqref="E2:E45 E48" xr:uid="{31CA9614-D26D-4F84-BF00-7B0FD705D37B}">
      <formula1>41244</formula1>
      <formula2>45748</formula2>
    </dataValidation>
    <dataValidation type="list" allowBlank="1" showInputMessage="1" showErrorMessage="1" sqref="BX2:BX5 BX7:BX26" xr:uid="{97F7547F-634F-4E9C-A14B-C71D108A8E53}">
      <formula1>"I^2 only,Cochran's Q test only,Both,Not reported,Between-study SD,Node splitting models,Other"</formula1>
    </dataValidation>
    <dataValidation type="list" allowBlank="1" showInputMessage="1" showErrorMessage="1" sqref="N2:N1048576" xr:uid="{A9BD8DCA-5533-484B-B3FE-5DB3ADC4AE30}">
      <formula1>"Active treatment +/- Placebo,No treatment or Placebo,Usual care +/- Placebo, No Treatment,Placebo,Usual Care,Active Treatment,Sham,Any comparator,Other"</formula1>
    </dataValidation>
    <dataValidation type="list" allowBlank="1" showInputMessage="1" showErrorMessage="1" sqref="BX6" xr:uid="{51E0F160-980A-4BDB-A02E-6E33FC1D96F2}">
      <formula1>"I^2 only,Cochran's Q test only,Both,Not reported,Between-study SD,Node splitting models,Other,Other bayesian approach"</formula1>
    </dataValidation>
    <dataValidation type="list" allowBlank="1" showInputMessage="1" showErrorMessage="1" sqref="HO47 HQ47 HS47 HU47:HV47 HX47:HY47 JB49:JB1048576 IR2:IR1048576 HM2:HM1048576 JE2:JE1048576" xr:uid="{B878010D-2861-490A-986D-D1A17D74C910}">
      <formula1>"Yes,Partial yes,No"</formula1>
    </dataValidation>
    <dataValidation type="list" allowBlank="1" showErrorMessage="1" sqref="IS48:IU48 IJ48:IN48 EY41:FA45 FC41:FN41 IS42:IU42 IJ42:IN42 FD42:FN42 FC43:FM43 FC44:FN45 GT44:GZ44 IJ45:IN45 EY47:FA47 FC47:FN47 FC48:FM48 FP48:FQ48 FT48 GA48 GC48 GE48 GG48 GI48 GL48:GM48 GO48 GR48 GT48:GW48" xr:uid="{FF2BA0BB-1A87-F14C-A098-D623D5B2BCFA}">
      <formula1>"Yes,No"</formula1>
    </dataValidation>
    <dataValidation type="list" allowBlank="1" showInputMessage="1" showErrorMessage="1" sqref="J48 J2:J45" xr:uid="{57F2C3E2-BDE9-4E46-B87F-F614A633D965}">
      <formula1>#REF!</formula1>
    </dataValidation>
  </dataValidations>
  <hyperlinks>
    <hyperlink ref="EE47" r:id="rId1" xr:uid="{20FB1435-6C29-497C-A9E9-C2E029E620C5}"/>
  </hyperlinks>
  <pageMargins left="0.7" right="0.7" top="0.75" bottom="0.75" header="0.3" footer="0.3"/>
  <pageSetup paperSize="9" orientation="portrait"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DFEE2C5D240B2459EC1661CCBA9805D" ma:contentTypeVersion="10" ma:contentTypeDescription="Crée un document." ma:contentTypeScope="" ma:versionID="67bd5089b38b12723c87d939de3f2ede">
  <xsd:schema xmlns:xsd="http://www.w3.org/2001/XMLSchema" xmlns:xs="http://www.w3.org/2001/XMLSchema" xmlns:p="http://schemas.microsoft.com/office/2006/metadata/properties" xmlns:ns3="2190e5ae-ae55-4142-bbf2-0ebb7dfe98ea" targetNamespace="http://schemas.microsoft.com/office/2006/metadata/properties" ma:root="true" ma:fieldsID="dea902a796a8f01702f02467de74703e" ns3:_="">
    <xsd:import namespace="2190e5ae-ae55-4142-bbf2-0ebb7dfe98e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90e5ae-ae55-4142-bbf2-0ebb7dfe98e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2190e5ae-ae55-4142-bbf2-0ebb7dfe98ea" xsi:nil="true"/>
  </documentManagement>
</p:properties>
</file>

<file path=customXml/itemProps1.xml><?xml version="1.0" encoding="utf-8"?>
<ds:datastoreItem xmlns:ds="http://schemas.openxmlformats.org/officeDocument/2006/customXml" ds:itemID="{28EC5A29-A9AD-48B6-8BEC-AA3EEE5749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90e5ae-ae55-4142-bbf2-0ebb7dfe98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2726836-EC29-4711-AFCA-C38774968A6B}">
  <ds:schemaRefs>
    <ds:schemaRef ds:uri="http://schemas.microsoft.com/sharepoint/v3/contenttype/forms"/>
  </ds:schemaRefs>
</ds:datastoreItem>
</file>

<file path=customXml/itemProps3.xml><?xml version="1.0" encoding="utf-8"?>
<ds:datastoreItem xmlns:ds="http://schemas.openxmlformats.org/officeDocument/2006/customXml" ds:itemID="{BBB07B27-2877-4C0A-99E8-84F32D51E815}">
  <ds:schemaRefs>
    <ds:schemaRef ds:uri="http://schemas.openxmlformats.org/package/2006/metadata/core-properties"/>
    <ds:schemaRef ds:uri="http://purl.org/dc/elements/1.1/"/>
    <ds:schemaRef ds:uri="http://schemas.microsoft.com/office/2006/metadata/properties"/>
    <ds:schemaRef ds:uri="http://schemas.microsoft.com/office/2006/documentManagement/types"/>
    <ds:schemaRef ds:uri="http://www.w3.org/XML/1998/namespace"/>
    <ds:schemaRef ds:uri="http://purl.org/dc/dcmitype/"/>
    <ds:schemaRef ds:uri="http://schemas.microsoft.com/office/infopath/2007/PartnerControls"/>
    <ds:schemaRef ds:uri="2190e5ae-ae55-4142-bbf2-0ebb7dfe98ea"/>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Index LSR Extraction Grid N=47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WENTA Justine</dc:creator>
  <cp:keywords/>
  <dc:description/>
  <cp:lastModifiedBy>Justine SEGURET WENTA</cp:lastModifiedBy>
  <cp:revision/>
  <dcterms:created xsi:type="dcterms:W3CDTF">2025-04-07T10:00:45Z</dcterms:created>
  <dcterms:modified xsi:type="dcterms:W3CDTF">2026-10-11T13:04:04Z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0x0101000DFEE2C5D240B2459EC1661CCBA9805D</vt:lpwstr>
  </property>
  <property fmtid="{D5CDD505-2E9C-101B-9397-08002B2CF9AE}" pid="3" name="MSIP_Label_591d6119-873b-4397-8a13-8f0b0381b9bf_Enabled">
    <vt:lpwstr>true</vt:lpwstr>
  </property>
  <property fmtid="{D5CDD505-2E9C-101B-9397-08002B2CF9AE}" pid="4" name="MSIP_Label_591d6119-873b-4397-8a13-8f0b0381b9bf_SetDate">
    <vt:lpwstr>2025-04-07T14:13:39Z</vt:lpwstr>
  </property>
  <property fmtid="{D5CDD505-2E9C-101B-9397-08002B2CF9AE}" pid="5" name="MSIP_Label_591d6119-873b-4397-8a13-8f0b0381b9bf_Method">
    <vt:lpwstr>Standard</vt:lpwstr>
  </property>
  <property fmtid="{D5CDD505-2E9C-101B-9397-08002B2CF9AE}" pid="6" name="MSIP_Label_591d6119-873b-4397-8a13-8f0b0381b9bf_Name">
    <vt:lpwstr>C1 - Interne</vt:lpwstr>
  </property>
  <property fmtid="{D5CDD505-2E9C-101B-9397-08002B2CF9AE}" pid="7" name="MSIP_Label_591d6119-873b-4397-8a13-8f0b0381b9bf_SiteId">
    <vt:lpwstr>905eea10-a76c-4815-8160-ba433c63cfd5</vt:lpwstr>
  </property>
  <property fmtid="{D5CDD505-2E9C-101B-9397-08002B2CF9AE}" pid="8" name="MSIP_Label_591d6119-873b-4397-8a13-8f0b0381b9bf_ActionId">
    <vt:lpwstr>9ef0c242-477c-4805-8e9d-6ea057b3aafb</vt:lpwstr>
  </property>
  <property fmtid="{D5CDD505-2E9C-101B-9397-08002B2CF9AE}" pid="9" name="MSIP_Label_591d6119-873b-4397-8a13-8f0b0381b9bf_ContentBits">
    <vt:lpwstr>2</vt:lpwstr>
  </property>
  <property fmtid="{D5CDD505-2E9C-101B-9397-08002B2CF9AE}" pid="10" name="MSIP_Label_591d6119-873b-4397-8a13-8f0b0381b9bf_Tag">
    <vt:lpwstr>10, 3, 0, 2</vt:lpwstr>
  </property>
</Properties>
</file>