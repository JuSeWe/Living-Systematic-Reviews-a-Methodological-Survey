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stine/Desktop/LSR Dossier de la Pitié/Documents/3.Extraction/Pour partage sur github/"/>
    </mc:Choice>
  </mc:AlternateContent>
  <xr:revisionPtr revIDLastSave="0" documentId="13_ncr:1_{9D035261-A25D-C241-A307-2F036A37BF90}" xr6:coauthVersionLast="47" xr6:coauthVersionMax="47" xr10:uidLastSave="{00000000-0000-0000-0000-000000000000}"/>
  <bookViews>
    <workbookView xWindow="0" yWindow="500" windowWidth="25600" windowHeight="14500" xr2:uid="{0EFF7A97-5C1E-4504-BFB3-10B6CCF9B0BF}"/>
  </bookViews>
  <sheets>
    <sheet name="Feuil1" sheetId="1" r:id="rId1"/>
  </sheets>
  <definedNames>
    <definedName name="_xlnm._FilterDatabase" localSheetId="0" hidden="1">Feuil1!$A$1:$BL$1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6" i="1" l="1"/>
  <c r="P25" i="1"/>
  <c r="P9" i="1"/>
  <c r="L9" i="1" l="1"/>
  <c r="P41" i="1"/>
  <c r="L36" i="1"/>
  <c r="L25" i="1"/>
  <c r="N23" i="1"/>
  <c r="L23" i="1"/>
  <c r="N24" i="1"/>
  <c r="L24" i="1"/>
</calcChain>
</file>

<file path=xl/sharedStrings.xml><?xml version="1.0" encoding="utf-8"?>
<sst xmlns="http://schemas.openxmlformats.org/spreadsheetml/2006/main" count="3621" uniqueCount="292">
  <si>
    <t>Index_ID</t>
  </si>
  <si>
    <t>Update_ID</t>
  </si>
  <si>
    <t>Update_Title</t>
  </si>
  <si>
    <t>Update_First_Author</t>
  </si>
  <si>
    <t>Update_Release_Date</t>
  </si>
  <si>
    <t>DOI</t>
  </si>
  <si>
    <t>Update_number</t>
  </si>
  <si>
    <t>Update_number_Clear</t>
  </si>
  <si>
    <t>Update_Index_Cited</t>
  </si>
  <si>
    <t>Update_Last_Search_Date</t>
  </si>
  <si>
    <t>Update_Total_Screened_References_Clear</t>
  </si>
  <si>
    <t>Update_Total_Screened_References_N</t>
  </si>
  <si>
    <t>Update_Total_Included_Studies_Clear</t>
  </si>
  <si>
    <t>Update_Total_Included_Studies_N</t>
  </si>
  <si>
    <t>Update_New_Screened_References_Clear</t>
  </si>
  <si>
    <t>Update_New_Screened_References_N</t>
  </si>
  <si>
    <t>Update_New_Added_Studies_Clear</t>
  </si>
  <si>
    <t>Update_New_Added_Studies_N</t>
  </si>
  <si>
    <t>Update_Support_Website</t>
  </si>
  <si>
    <t>Update_Support_Website_Link</t>
  </si>
  <si>
    <t>Update_Support_Website_Previous_V_Available</t>
  </si>
  <si>
    <t>Update_Support_Publication</t>
  </si>
  <si>
    <t>Update_Support_Publication_Journal</t>
  </si>
  <si>
    <t>Update_Support_Other</t>
  </si>
  <si>
    <t>Update_Support_Other_Precise</t>
  </si>
  <si>
    <t>Update_Version_Type</t>
  </si>
  <si>
    <t>Update_Reviewing</t>
  </si>
  <si>
    <t>Update_Search_Databases</t>
  </si>
  <si>
    <t>Update_Selection_Predefined_Criteria</t>
  </si>
  <si>
    <t>Update_Selection_Search_For_Duplicates</t>
  </si>
  <si>
    <t>Update_Selection_Reasons_For_Exclusion_In_Flowchart</t>
  </si>
  <si>
    <t>Update_Selection_In_Duplicate</t>
  </si>
  <si>
    <t>Update_Extraction_Standardized_Form</t>
  </si>
  <si>
    <t>Update_Extraction_In_Duplicate</t>
  </si>
  <si>
    <t>Update_ROB_Assessment_Reported</t>
  </si>
  <si>
    <t>Update_ROB_In_Duplicate</t>
  </si>
  <si>
    <t>Update_ROB_Cochrane_RoB_Tool_Used_RCT</t>
  </si>
  <si>
    <t>Update_ROB_Cochrane_RoB_Tool_UpToDate</t>
  </si>
  <si>
    <t>Update_ROB_Another_Tool_RCT_Precise</t>
  </si>
  <si>
    <t>Update_ROB_ROBINS_Used_NR_Studies</t>
  </si>
  <si>
    <t>Update_ROB_Another_Tool_NRS_Precise</t>
  </si>
  <si>
    <t>Update_Future_Date_Info</t>
  </si>
  <si>
    <t>Update_Future_Support_Info</t>
  </si>
  <si>
    <t>Update_Future_Support_Which</t>
  </si>
  <si>
    <t>Update_Future_Conditions_For_Online</t>
  </si>
  <si>
    <t>Update_Future_Conditions_For_Publication</t>
  </si>
  <si>
    <t>Update_Future_Publication_Frequency</t>
  </si>
  <si>
    <t>9_1</t>
  </si>
  <si>
    <t>Single or combined immune checkpoint inhibitors compared to first-line platinum-based chemotherapy with or without bevacizumab for people with advanced non-small cell lung cancer (Review)</t>
  </si>
  <si>
    <t>Roberto Ferrara</t>
  </si>
  <si>
    <t>10.1002/14651858.CD013257.pub3</t>
  </si>
  <si>
    <t>Yes</t>
  </si>
  <si>
    <t>No</t>
  </si>
  <si>
    <t>Cochrane</t>
  </si>
  <si>
    <t>Full Report</t>
  </si>
  <si>
    <t>Peer-reviewing</t>
  </si>
  <si>
    <t>All</t>
  </si>
  <si>
    <t>No NR Studies</t>
  </si>
  <si>
    <t>11_1</t>
  </si>
  <si>
    <t>Efficacy and safety of tocilizumab in COVID-19 patients: a living systematic review and meta-analysis, first update</t>
  </si>
  <si>
    <t>Imad M. Tleyjeh</t>
  </si>
  <si>
    <t>10.1016/j.cmi.2021.04.019</t>
  </si>
  <si>
    <t>Clin Microbiol Infect</t>
  </si>
  <si>
    <t>13_1</t>
  </si>
  <si>
    <t>Interleukin-6 blocking agents for treating COVID-19: a livingsystematic review (Review)</t>
  </si>
  <si>
    <t>Lina Ghosn</t>
  </si>
  <si>
    <t>10.1002/14651858.CD013881.pub2</t>
  </si>
  <si>
    <t>Both</t>
  </si>
  <si>
    <t>Fixed frequency</t>
  </si>
  <si>
    <t>Only if change in certainty or conclusions</t>
  </si>
  <si>
    <t>15_1</t>
  </si>
  <si>
    <t>Remdesivir for the treatment of COVID-19 (Review)</t>
  </si>
  <si>
    <t>Felicitas Grundeis</t>
  </si>
  <si>
    <t>10.1002/14651858.CD014962.pub2</t>
  </si>
  <si>
    <t>16_1</t>
  </si>
  <si>
    <t>Systemic corticosteroids for the treatment of COVID-19: Equity-related analyses and update on evidence (Review)</t>
  </si>
  <si>
    <t>Carina Wagner</t>
  </si>
  <si>
    <t>10.1002/2F14651858.CD014963.pub2</t>
  </si>
  <si>
    <t>Publication only</t>
  </si>
  <si>
    <t>18_1</t>
  </si>
  <si>
    <t>Antibody and cellular therapies for treatment of covid-19: a living systematic review and network meta-analysis</t>
  </si>
  <si>
    <t>https://www.covid19lnma.com/</t>
  </si>
  <si>
    <t>No information</t>
  </si>
  <si>
    <t>20_1</t>
  </si>
  <si>
    <t>Living Systematic Review on Cannabis and Other Plant-Based Treatments for Chronic Pain – Quarterly Progress Report/Surveillance Report 1: September 2021</t>
  </si>
  <si>
    <t>Marian S. McDonagh</t>
  </si>
  <si>
    <t>10.23970/AHRQEPCCANNABISSURVEILLANCE1</t>
  </si>
  <si>
    <t>https://effectivehealthcare.ahrq.gov/products/plant-based-chronic-pain-treatment/living-review</t>
  </si>
  <si>
    <t>Partial Report</t>
  </si>
  <si>
    <t>Neither</t>
  </si>
  <si>
    <t>Online only</t>
  </si>
  <si>
    <t>20_2</t>
  </si>
  <si>
    <t>Living Systematic Review on Cannabis and Other Plant-Based Treatments for Chronic Pain: Surveillance Report 2</t>
  </si>
  <si>
    <t>10.23970/AHRQEPCCANNABISSURVEILLANCE2</t>
  </si>
  <si>
    <t>Cochrane criteria and methods with AHRQ approach via DistillerSR</t>
  </si>
  <si>
    <t>U.S. Preventive Services TASK FORCE criteria and methods with AHRQ approach via DistillerSR</t>
  </si>
  <si>
    <t>20_3</t>
  </si>
  <si>
    <t>Living Systematic Review on Cannabis  and Other Plant-Based Treatments for  Chronic Pain: Surveillance Report 3</t>
  </si>
  <si>
    <t>Roger Chou</t>
  </si>
  <si>
    <t>10.23970/AHRQEPCCANNABISSURVEILLANCE3</t>
  </si>
  <si>
    <t>20_4</t>
  </si>
  <si>
    <t>Living Systematic Review on Cannabis and Other Plant-Based Treatments for Chronic Pain: Surveillance Report 4</t>
  </si>
  <si>
    <t>10.23970/AHRQEPCCANNABISSURVEILLANCE4</t>
  </si>
  <si>
    <t>20_5</t>
  </si>
  <si>
    <t>Living Systematic Review on Cannibis and Other PlantBased Treatments for Chronic Pain: 2022 Update</t>
  </si>
  <si>
    <t>10.23970/AHRQEPCCER250UPDATE2022</t>
  </si>
  <si>
    <t>20_6</t>
  </si>
  <si>
    <t>Living Systematic Review on Cannabis  and Other Plant-Based Treatments for  Chronic Pain: 2022 Update Surveillance Report 1</t>
  </si>
  <si>
    <t>10.23970/AHRQEPCCER250.2022UPDATESR1</t>
  </si>
  <si>
    <t>20_7</t>
  </si>
  <si>
    <t>Living Systematic Review on Cannabis  and Other Plant-Based Treatments for  Chronic Pain: 2022 Update Surveillance Report 2</t>
  </si>
  <si>
    <t>10.23970/AHRQEPCCER250.2022UPDATESR2</t>
  </si>
  <si>
    <t>20_8</t>
  </si>
  <si>
    <t>Living Systematic Review on Cannabis  and Other Plant-Based Treatments for  Chronic Pain: 2022 UpdateSurveillance Report 3</t>
  </si>
  <si>
    <t>10.23970/AHRQEPCCER250.2022UPDATESR3</t>
  </si>
  <si>
    <t>20_9</t>
  </si>
  <si>
    <t>Living Systematic Review on Cannabis  and Other Plant-Based Treatments for  Chronic Pain: 2022 Update Surveillance Report 4</t>
  </si>
  <si>
    <t>10.23970/AHRQEPCCER250.2022UPDATESR4</t>
  </si>
  <si>
    <t>20_10</t>
  </si>
  <si>
    <t>Living Systematic Review on Cannabis and Other Plant-Based Treatments for Chronic Pain: 2023 Update</t>
  </si>
  <si>
    <t>10.23970/AHRQEPCCER250UPDATE2023</t>
  </si>
  <si>
    <t>20_11</t>
  </si>
  <si>
    <t>Living Systematic Review on Cannabis  and Other Plant-Based Treatments for  Chronic Pain: 2023 Update Surveillance Report 1</t>
  </si>
  <si>
    <t>10.23970/AHRQEPCCER250.2023UPDATESR1</t>
  </si>
  <si>
    <t>20_12</t>
  </si>
  <si>
    <t>Living Systematic Review on Cannabis and Other Plant-Based Treatments for Chronic Pain: 2023 Update – Surveillance Report 2</t>
  </si>
  <si>
    <t>10.23970/AHRQEPCCER250.2023UPDATESR2</t>
  </si>
  <si>
    <t>Search's update without analyse</t>
  </si>
  <si>
    <t>20_13</t>
  </si>
  <si>
    <t>Living Systematic Review on Cannabis and Other Plant-Based Treatments for Chronic Pain: 2023 Update—Surveillance Report 3</t>
  </si>
  <si>
    <t>10.23970/AHRQEPCCER250.2023UPDATESR3</t>
  </si>
  <si>
    <t>20_14</t>
  </si>
  <si>
    <t>Living Systematic Review on Cannabis and Other Plant-Based Treatments for Chronic Pain: 2023 Update – Surveillance Report 4</t>
  </si>
  <si>
    <t>10.23970/AHRQEPCCER250.2023UPDATESR4</t>
  </si>
  <si>
    <t>20_15</t>
  </si>
  <si>
    <t>Living Systematic Review on Cannabis and Other Plant-Based Treatments for Chronic Pain: 2024 Update</t>
  </si>
  <si>
    <t>10.23970/AHRQEPCCER250.2024UPDATE</t>
  </si>
  <si>
    <t>1_1</t>
  </si>
  <si>
    <t>Cannabis‐based products for pediatric epilepsy: A systematic review</t>
  </si>
  <si>
    <t>Jesse Elliott</t>
  </si>
  <si>
    <t>http://cannabisandepilepsy.blogspot.com/</t>
  </si>
  <si>
    <t>No information at all</t>
  </si>
  <si>
    <t>1_2</t>
  </si>
  <si>
    <t xml:space="preserve">10.1016/j.seizure.2019.12.006 </t>
  </si>
  <si>
    <t xml:space="preserve">Seizure </t>
  </si>
  <si>
    <t>SIGN50 Checklist</t>
  </si>
  <si>
    <t>Interventions for treatment of COVID-19:  Second edition of a living systematic review  with meta-analyses and trial sequential  analyses (The LIVING Project)</t>
  </si>
  <si>
    <t>Sophie Juul</t>
  </si>
  <si>
    <t>10.1371/journal.pone.0248132</t>
  </si>
  <si>
    <t>PLOS ONE</t>
  </si>
  <si>
    <t>Biologics for chronic rhinosinusitis (Review)</t>
  </si>
  <si>
    <t>Lee-Yee Chong</t>
  </si>
  <si>
    <t>10.1002/14651858.CD013513.pub3</t>
  </si>
  <si>
    <t>1_3</t>
  </si>
  <si>
    <t>Evidence Map of Pancreatic Surgery</t>
  </si>
  <si>
    <t>http://www.evidencemap.surgery/</t>
  </si>
  <si>
    <t>Pascal Probst</t>
  </si>
  <si>
    <t>23_1</t>
  </si>
  <si>
    <t>First-line Treatment of Metastatic Renal Cell Carcinoma: A Living, Interactive Systematic Review and Network Meta-Analysis</t>
  </si>
  <si>
    <t>https://rcc.network-meta-analysis.com/</t>
  </si>
  <si>
    <t>As soon as new evidence becomes available</t>
  </si>
  <si>
    <t>24_1</t>
  </si>
  <si>
    <t>Efficacy and safety of COVID‐19 vaccines</t>
  </si>
  <si>
    <t>26_1</t>
  </si>
  <si>
    <t>https://covid-nma.com/vaccines/</t>
  </si>
  <si>
    <t>28_1</t>
  </si>
  <si>
    <t>Use of anticoagulants in patients with COVID-19: an update of a living systematic review and meta-analysis</t>
  </si>
  <si>
    <t>Diane R Batista</t>
  </si>
  <si>
    <t>J Bras Pneumol</t>
  </si>
  <si>
    <t>34_1</t>
  </si>
  <si>
    <t>Update Alert: Effectiveness and Safety of Treatments to Prevent Fractures in People With Low Bone Mass or Primary Osteoporosis: A Living Systematic Review and Network Meta-analysis for the American College of Physicians</t>
  </si>
  <si>
    <t>Chelsea Ayers</t>
  </si>
  <si>
    <t>34_2</t>
  </si>
  <si>
    <t>10.7326/L24-0118</t>
  </si>
  <si>
    <t>10.36416/1806-3756/e20230095</t>
  </si>
  <si>
    <t>Ann of Intern Med</t>
  </si>
  <si>
    <t>Surveillance Note: Effectiveness and Safety of Treatments to Prevent Fractures in People With Low Bone Mass or Primary Osteoporosis: A Living Systematic Review and Network Meta-analysis for the American College of Physicians</t>
  </si>
  <si>
    <t>10.7326/ANNALS-24-03552</t>
  </si>
  <si>
    <t>35_1</t>
  </si>
  <si>
    <t>Interventions for myopia control in children: a living systematic review and network meta‐analysis</t>
  </si>
  <si>
    <t>John G Lawrenson</t>
  </si>
  <si>
    <t>10.1002/14651858.CD014758.pub3</t>
  </si>
  <si>
    <t>37_1</t>
  </si>
  <si>
    <t>Irbaz Bin Riaz</t>
  </si>
  <si>
    <t>Comparative survival in metastatic castration-sensitive prostate cancer (mCSPC) by prognostic subgroups: A living network meta-analysis.</t>
  </si>
  <si>
    <t>https://mcspc.living-evidence.com/</t>
  </si>
  <si>
    <t>37_2</t>
  </si>
  <si>
    <t>The role of volume of disease for treatment selection in patients with metastatic castration sensitive prostate cancer (mCSPC): A living meta-analysis.</t>
  </si>
  <si>
    <t>Syed Arsalan Ahmed Naqvi</t>
  </si>
  <si>
    <t>10.1200/JCO.2023.41.16_suppl.5088</t>
  </si>
  <si>
    <t>10.1200/JCO.2024.42.4_suppl.171</t>
  </si>
  <si>
    <t>Conference abstract</t>
  </si>
  <si>
    <t>37_3</t>
  </si>
  <si>
    <t>A Living Interactive Systematic Review and Network Meta-Analysis on First-Line Treatment Options in Metastatic Castration Sensitive Prostate Cancer</t>
  </si>
  <si>
    <t>37_4</t>
  </si>
  <si>
    <t>37_5</t>
  </si>
  <si>
    <t>37_6</t>
  </si>
  <si>
    <t>37_7</t>
  </si>
  <si>
    <t>37_8</t>
  </si>
  <si>
    <t>37_9</t>
  </si>
  <si>
    <t>37_10</t>
  </si>
  <si>
    <t>37_11</t>
  </si>
  <si>
    <t>37_12</t>
  </si>
  <si>
    <t>37_13</t>
  </si>
  <si>
    <t>37_14</t>
  </si>
  <si>
    <t>37_15</t>
  </si>
  <si>
    <t>37_16</t>
  </si>
  <si>
    <t>37_17</t>
  </si>
  <si>
    <t>37_18</t>
  </si>
  <si>
    <t>37_19</t>
  </si>
  <si>
    <t>37_20</t>
  </si>
  <si>
    <t>37_21</t>
  </si>
  <si>
    <t>37_22</t>
  </si>
  <si>
    <t>37_23</t>
  </si>
  <si>
    <t>37_24</t>
  </si>
  <si>
    <t>37_25</t>
  </si>
  <si>
    <t>37_26</t>
  </si>
  <si>
    <t>38_1</t>
  </si>
  <si>
    <t>Endovascular thrombectomy for large ischemic strokes: An updated living systematic review and meta-analysis of randomized clinical trials</t>
  </si>
  <si>
    <t>Rami Z. Morsi</t>
  </si>
  <si>
    <t>10.1016/j.jns.2024.123003</t>
  </si>
  <si>
    <t>J Neurol Sci</t>
  </si>
  <si>
    <t>46_1</t>
  </si>
  <si>
    <t>COVIS-19 Vaccines for Pregnant Persons: A Living Systematic Review and Meta-Analysis</t>
  </si>
  <si>
    <t>https://www.safeinpregnancy.org/living-systematic-review/</t>
  </si>
  <si>
    <t>NIH</t>
  </si>
  <si>
    <t>Interventions for quitting vaping</t>
  </si>
  <si>
    <t>49_1</t>
  </si>
  <si>
    <t>49_2</t>
  </si>
  <si>
    <t>49_3</t>
  </si>
  <si>
    <t>49_4</t>
  </si>
  <si>
    <t>https://www.cebm.ox.ac.uk/research/electronic-cigarettes-for-smoking-cessation-cochrane-living-systematic-review-1</t>
  </si>
  <si>
    <t>50_1</t>
  </si>
  <si>
    <t>Systemic immunomodulatory treatments for atopic dermatitis: a living systematic review and network meta-analysis</t>
  </si>
  <si>
    <t>http://eczematherapies.com/research/</t>
  </si>
  <si>
    <t>Systemic Immunomodulatory Treatments for Atopic Dermatitis Update of a Living Systematic Review and Network Meta-analysis</t>
  </si>
  <si>
    <t>Aaron M. Drucker</t>
  </si>
  <si>
    <t>Comparing binary efficacy outcomes for systemic immunomodulatory treatments for atopic dermatitis in a living systematic review and network meta-analysis</t>
  </si>
  <si>
    <t>Systemic Immunomodulatory Treatments for Atopic Dermatitis
Living Systematic Review and Network Meta-Analysis Update</t>
  </si>
  <si>
    <t>10.1001/jamadermatol.2022.0455</t>
  </si>
  <si>
    <t>10.1093/bjd/ljad393</t>
  </si>
  <si>
    <t>10.1001/jamadermatol.2024.2192</t>
  </si>
  <si>
    <t>Br J Dermatol</t>
  </si>
  <si>
    <t>JAMA Dermatology</t>
  </si>
  <si>
    <t>50_2</t>
  </si>
  <si>
    <t>50_3</t>
  </si>
  <si>
    <t>50_4</t>
  </si>
  <si>
    <t>50_5</t>
  </si>
  <si>
    <t>50_6</t>
  </si>
  <si>
    <t>50_7</t>
  </si>
  <si>
    <t>51_1</t>
  </si>
  <si>
    <t>Drug treatments for covid-19: living systematic review and network meta-analysis</t>
  </si>
  <si>
    <t>51_2</t>
  </si>
  <si>
    <t>51_3</t>
  </si>
  <si>
    <t>51_4</t>
  </si>
  <si>
    <t>10.1136/bmj.m2980</t>
  </si>
  <si>
    <t>Reed AC Siemieniuk</t>
  </si>
  <si>
    <t>Update_Support_Publication_And_Website</t>
  </si>
  <si>
    <t>53_1</t>
  </si>
  <si>
    <t>Ivermectin for preventing and treating COVID‐19</t>
  </si>
  <si>
    <t>Maria Popp</t>
  </si>
  <si>
    <t>54_1</t>
  </si>
  <si>
    <t>Prophylaxis against covid-19: living systematic review and network meta-analysis</t>
  </si>
  <si>
    <t>Jessica J Bartoszko</t>
  </si>
  <si>
    <t>10.1136/bmj.p688</t>
  </si>
  <si>
    <t>BMJ</t>
  </si>
  <si>
    <t>55_1</t>
  </si>
  <si>
    <t>Updated Living Systematic Review and Meta-analysis of Controlled Trials of Mesenchymal Stromal Cells to Treat COVID-19: A Framework for Accelerated Synthesis of Trial Evidence for Rapid Approval—FASTER Approval</t>
  </si>
  <si>
    <t>Aidan M Kirkham</t>
  </si>
  <si>
    <t>10.1093/stcltm/szac038</t>
  </si>
  <si>
    <t>Stem Cells Transl Med</t>
  </si>
  <si>
    <t>55_2</t>
  </si>
  <si>
    <t>Systematic review and meta-analysis of randomized controlled trials of mesenchymal stromal cells to treat coronavirus disease 2019: is it too late?</t>
  </si>
  <si>
    <t>10.1016/j.jcyt.2022.10.003</t>
  </si>
  <si>
    <t>Cytotheratpy</t>
  </si>
  <si>
    <t>13_2</t>
  </si>
  <si>
    <t>Pharmacologic treatments for covid-19 patients</t>
  </si>
  <si>
    <t>13_8</t>
  </si>
  <si>
    <t>Holger Schünemann</t>
  </si>
  <si>
    <t>13_3</t>
  </si>
  <si>
    <t>13_4</t>
  </si>
  <si>
    <t>13_5</t>
  </si>
  <si>
    <t>13_6</t>
  </si>
  <si>
    <t>13_7</t>
  </si>
  <si>
    <t>https://covid-nma.com/summaryofresults/</t>
  </si>
  <si>
    <t>6_1</t>
  </si>
  <si>
    <t>2_1</t>
  </si>
  <si>
    <t>NA</t>
  </si>
  <si>
    <t>Update_RetirementNotice_Info</t>
  </si>
  <si>
    <t>10.1002/14651858.CD015017.pub3</t>
  </si>
  <si>
    <t>Update_Future_Online_Frequency_months</t>
  </si>
  <si>
    <t>Update_Support_Website_Previous_Date_Visible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</si>
</sst>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13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Source Sans Pro"/>
      <family val="2"/>
    </font>
    <font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E9C9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000000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dashDot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tted">
        <color indexed="64"/>
      </left>
      <right/>
      <top style="thin">
        <color indexed="64"/>
      </top>
      <bottom/>
      <diagonal/>
    </border>
    <border>
      <left style="dotted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1" fontId="2" fillId="0" borderId="0" xfId="0" applyNumberFormat="1" applyFont="1"/>
    <xf numFmtId="0" fontId="2" fillId="0" borderId="1" xfId="0" applyFont="1" applyBorder="1"/>
    <xf numFmtId="0" fontId="0" fillId="0" borderId="1" xfId="0" applyBorder="1"/>
    <xf numFmtId="0" fontId="0" fillId="0" borderId="8" xfId="0" applyBorder="1"/>
    <xf numFmtId="0" fontId="2" fillId="0" borderId="8" xfId="0" applyFont="1" applyBorder="1"/>
    <xf numFmtId="0" fontId="2" fillId="0" borderId="9" xfId="0" applyFont="1" applyBorder="1"/>
    <xf numFmtId="0" fontId="0" fillId="0" borderId="9" xfId="0" applyBorder="1"/>
    <xf numFmtId="0" fontId="2" fillId="0" borderId="7" xfId="0" applyFont="1" applyBorder="1"/>
    <xf numFmtId="0" fontId="0" fillId="0" borderId="7" xfId="0" applyBorder="1"/>
    <xf numFmtId="0" fontId="0" fillId="0" borderId="10" xfId="0" applyBorder="1"/>
    <xf numFmtId="0" fontId="2" fillId="0" borderId="10" xfId="0" applyFont="1" applyBorder="1"/>
    <xf numFmtId="1" fontId="0" fillId="0" borderId="0" xfId="0" applyNumberFormat="1"/>
    <xf numFmtId="0" fontId="1" fillId="4" borderId="0" xfId="0" applyFont="1" applyFill="1" applyAlignment="1">
      <alignment wrapText="1"/>
    </xf>
    <xf numFmtId="0" fontId="2" fillId="0" borderId="11" xfId="0" applyFont="1" applyBorder="1"/>
    <xf numFmtId="0" fontId="0" fillId="0" borderId="11" xfId="0" applyBorder="1"/>
    <xf numFmtId="0" fontId="1" fillId="2" borderId="3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1" fillId="2" borderId="6" xfId="0" applyFont="1" applyFill="1" applyBorder="1" applyAlignment="1">
      <alignment wrapText="1"/>
    </xf>
    <xf numFmtId="1" fontId="1" fillId="2" borderId="3" xfId="0" applyNumberFormat="1" applyFont="1" applyFill="1" applyBorder="1" applyAlignment="1">
      <alignment wrapText="1"/>
    </xf>
    <xf numFmtId="0" fontId="1" fillId="2" borderId="4" xfId="0" applyFont="1" applyFill="1" applyBorder="1" applyAlignment="1">
      <alignment wrapText="1"/>
    </xf>
    <xf numFmtId="0" fontId="1" fillId="2" borderId="12" xfId="0" applyFont="1" applyFill="1" applyBorder="1" applyAlignment="1">
      <alignment wrapText="1"/>
    </xf>
    <xf numFmtId="0" fontId="1" fillId="3" borderId="13" xfId="0" applyFont="1" applyFill="1" applyBorder="1" applyAlignment="1">
      <alignment wrapText="1"/>
    </xf>
    <xf numFmtId="0" fontId="1" fillId="3" borderId="3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1" fillId="4" borderId="14" xfId="0" applyFont="1" applyFill="1" applyBorder="1" applyAlignment="1">
      <alignment wrapText="1"/>
    </xf>
    <xf numFmtId="0" fontId="1" fillId="4" borderId="3" xfId="0" applyFont="1" applyFill="1" applyBorder="1" applyAlignment="1">
      <alignment wrapText="1"/>
    </xf>
    <xf numFmtId="0" fontId="7" fillId="5" borderId="0" xfId="0" applyFont="1" applyFill="1"/>
    <xf numFmtId="0" fontId="2" fillId="5" borderId="0" xfId="0" applyFont="1" applyFill="1"/>
    <xf numFmtId="14" fontId="2" fillId="5" borderId="0" xfId="0" applyNumberFormat="1" applyFont="1" applyFill="1"/>
    <xf numFmtId="1" fontId="2" fillId="5" borderId="0" xfId="0" applyNumberFormat="1" applyFont="1" applyFill="1"/>
    <xf numFmtId="0" fontId="5" fillId="5" borderId="0" xfId="0" applyFont="1" applyFill="1"/>
    <xf numFmtId="0" fontId="5" fillId="5" borderId="0" xfId="2" applyFont="1" applyFill="1" applyBorder="1"/>
    <xf numFmtId="0" fontId="9" fillId="6" borderId="0" xfId="0" applyFont="1" applyFill="1"/>
    <xf numFmtId="0" fontId="10" fillId="5" borderId="0" xfId="2" applyFill="1" applyBorder="1"/>
    <xf numFmtId="17" fontId="2" fillId="5" borderId="0" xfId="0" applyNumberFormat="1" applyFont="1" applyFill="1"/>
    <xf numFmtId="0" fontId="8" fillId="6" borderId="0" xfId="0" applyFont="1" applyFill="1"/>
    <xf numFmtId="14" fontId="5" fillId="6" borderId="0" xfId="0" applyNumberFormat="1" applyFont="1" applyFill="1"/>
    <xf numFmtId="0" fontId="5" fillId="6" borderId="0" xfId="0" applyFont="1" applyFill="1"/>
    <xf numFmtId="14" fontId="9" fillId="6" borderId="0" xfId="0" applyNumberFormat="1" applyFont="1" applyFill="1"/>
    <xf numFmtId="0" fontId="8" fillId="5" borderId="0" xfId="0" applyFont="1" applyFill="1"/>
    <xf numFmtId="0" fontId="9" fillId="5" borderId="0" xfId="0" applyFont="1" applyFill="1"/>
    <xf numFmtId="14" fontId="9" fillId="5" borderId="0" xfId="0" applyNumberFormat="1" applyFont="1" applyFill="1"/>
    <xf numFmtId="1" fontId="2" fillId="5" borderId="0" xfId="1" applyNumberFormat="1" applyFont="1" applyFill="1" applyBorder="1"/>
    <xf numFmtId="0" fontId="5" fillId="5" borderId="0" xfId="0" applyFont="1" applyFill="1" applyAlignment="1">
      <alignment horizontal="left" wrapText="1"/>
    </xf>
    <xf numFmtId="0" fontId="9" fillId="5" borderId="0" xfId="0" applyFont="1" applyFill="1" applyAlignment="1">
      <alignment vertical="center"/>
    </xf>
    <xf numFmtId="0" fontId="12" fillId="5" borderId="0" xfId="0" applyFont="1" applyFill="1"/>
    <xf numFmtId="0" fontId="1" fillId="5" borderId="0" xfId="0" applyFont="1" applyFill="1"/>
    <xf numFmtId="0" fontId="11" fillId="5" borderId="0" xfId="0" applyFont="1" applyFill="1"/>
    <xf numFmtId="14" fontId="12" fillId="5" borderId="0" xfId="0" applyNumberFormat="1" applyFont="1" applyFill="1"/>
    <xf numFmtId="0" fontId="1" fillId="4" borderId="0" xfId="0" applyFont="1" applyFill="1" applyBorder="1" applyAlignment="1">
      <alignment wrapText="1"/>
    </xf>
    <xf numFmtId="0" fontId="1" fillId="4" borderId="15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3" fillId="2" borderId="8" xfId="0" applyFont="1" applyFill="1" applyBorder="1" applyAlignment="1">
      <alignment horizontal="left" wrapText="1"/>
    </xf>
  </cellXfs>
  <cellStyles count="4">
    <cellStyle name="Hyperlink" xfId="3" xr:uid="{4CA0E653-4ADA-45D2-ACE6-727707B3FADF}"/>
    <cellStyle name="Lien hypertexte" xfId="2" builtinId="8"/>
    <cellStyle name="Milliers" xfId="1" builtinId="3"/>
    <cellStyle name="Normal" xfId="0" builtinId="0"/>
  </cellStyles>
  <dxfs count="0"/>
  <tableStyles count="0" defaultTableStyle="TableStyleMedium2" defaultPivotStyle="PivotStyleLight16"/>
  <colors>
    <mruColors>
      <color rgb="FFE9C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eczematherapies.com/research/" TargetMode="External"/><Relationship Id="rId1" Type="http://schemas.openxmlformats.org/officeDocument/2006/relationships/hyperlink" Target="https://www.cebm.ox.ac.uk/research/electronic-cigarettes-for-smoking-cessation-cochrane-living-systematic-review-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7DCB1-BBF1-4B90-B3F7-71D336AACA85}">
  <dimension ref="A1:AY108"/>
  <sheetViews>
    <sheetView tabSelected="1" zoomScaleNormal="100" workbookViewId="0">
      <pane xSplit="2" ySplit="1" topLeftCell="C2" activePane="bottomRight" state="frozen"/>
      <selection pane="topRight" activeCell="D1" sqref="D1"/>
      <selection pane="bottomLeft" activeCell="A7" sqref="A7"/>
      <selection pane="bottomRight" activeCell="D12" sqref="D12"/>
    </sheetView>
  </sheetViews>
  <sheetFormatPr baseColWidth="10" defaultColWidth="11.5" defaultRowHeight="15" x14ac:dyDescent="0.2"/>
  <cols>
    <col min="1" max="1" width="5.5" customWidth="1"/>
    <col min="2" max="2" width="6.5" customWidth="1"/>
    <col min="3" max="3" width="11.5" customWidth="1"/>
    <col min="7" max="7" width="7.33203125" customWidth="1"/>
    <col min="11" max="11" width="11.5" style="10"/>
    <col min="14" max="14" width="11.5" style="13"/>
    <col min="15" max="15" width="11.5" style="10"/>
    <col min="26" max="26" width="11.5" style="8"/>
    <col min="28" max="28" width="16.6640625" customWidth="1"/>
    <col min="30" max="30" width="11.5" style="5"/>
    <col min="35" max="35" width="11.5" style="4"/>
    <col min="44" max="44" width="11.5" style="16"/>
    <col min="46" max="46" width="11.5" style="11"/>
    <col min="48" max="48" width="11.5" customWidth="1"/>
  </cols>
  <sheetData>
    <row r="1" spans="1:51" s="1" customFormat="1" ht="60" x14ac:dyDescent="0.2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8" t="s">
        <v>8</v>
      </c>
      <c r="J1" s="19" t="s">
        <v>9</v>
      </c>
      <c r="K1" s="20" t="s">
        <v>10</v>
      </c>
      <c r="L1" s="21" t="s">
        <v>11</v>
      </c>
      <c r="M1" s="17" t="s">
        <v>12</v>
      </c>
      <c r="N1" s="21" t="s">
        <v>13</v>
      </c>
      <c r="O1" s="20" t="s">
        <v>14</v>
      </c>
      <c r="P1" s="17" t="s">
        <v>15</v>
      </c>
      <c r="Q1" s="17" t="s">
        <v>16</v>
      </c>
      <c r="R1" s="18" t="s">
        <v>17</v>
      </c>
      <c r="S1" s="19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22" t="s">
        <v>24</v>
      </c>
      <c r="Z1" s="55" t="s">
        <v>257</v>
      </c>
      <c r="AA1" s="17" t="s">
        <v>291</v>
      </c>
      <c r="AB1" s="23" t="s">
        <v>25</v>
      </c>
      <c r="AC1" s="23" t="s">
        <v>26</v>
      </c>
      <c r="AD1" s="24" t="s">
        <v>27</v>
      </c>
      <c r="AE1" s="25" t="s">
        <v>28</v>
      </c>
      <c r="AF1" s="25" t="s">
        <v>29</v>
      </c>
      <c r="AG1" s="25" t="s">
        <v>30</v>
      </c>
      <c r="AH1" s="25" t="s">
        <v>31</v>
      </c>
      <c r="AI1" s="26" t="s">
        <v>32</v>
      </c>
      <c r="AJ1" s="25" t="s">
        <v>33</v>
      </c>
      <c r="AK1" s="25" t="s">
        <v>34</v>
      </c>
      <c r="AL1" s="25" t="s">
        <v>35</v>
      </c>
      <c r="AM1" s="25" t="s">
        <v>36</v>
      </c>
      <c r="AN1" s="25" t="s">
        <v>37</v>
      </c>
      <c r="AO1" s="25" t="s">
        <v>38</v>
      </c>
      <c r="AP1" s="25" t="s">
        <v>39</v>
      </c>
      <c r="AQ1" s="25" t="s">
        <v>40</v>
      </c>
      <c r="AR1" s="54" t="s">
        <v>288</v>
      </c>
      <c r="AS1" s="14" t="s">
        <v>41</v>
      </c>
      <c r="AT1" s="52" t="s">
        <v>42</v>
      </c>
      <c r="AU1" s="53" t="s">
        <v>43</v>
      </c>
      <c r="AV1" s="28" t="s">
        <v>44</v>
      </c>
      <c r="AW1" s="27" t="s">
        <v>290</v>
      </c>
      <c r="AX1" s="28" t="s">
        <v>45</v>
      </c>
      <c r="AY1" s="28" t="s">
        <v>46</v>
      </c>
    </row>
    <row r="2" spans="1:51" s="30" customFormat="1" ht="14" x14ac:dyDescent="0.2">
      <c r="A2" s="38">
        <v>1</v>
      </c>
      <c r="B2" s="38" t="s">
        <v>137</v>
      </c>
      <c r="C2" s="35" t="s">
        <v>138</v>
      </c>
      <c r="D2" s="35" t="s">
        <v>139</v>
      </c>
      <c r="E2" s="39">
        <v>43648</v>
      </c>
      <c r="F2" s="40"/>
      <c r="G2" s="40">
        <v>1</v>
      </c>
      <c r="H2" s="40" t="s">
        <v>51</v>
      </c>
      <c r="I2" s="40" t="s">
        <v>51</v>
      </c>
      <c r="J2" s="39">
        <v>43374</v>
      </c>
      <c r="K2" s="35" t="s">
        <v>52</v>
      </c>
      <c r="L2" s="35"/>
      <c r="M2" s="35" t="s">
        <v>52</v>
      </c>
      <c r="N2" s="35"/>
      <c r="O2" s="35" t="s">
        <v>52</v>
      </c>
      <c r="P2" s="35"/>
      <c r="Q2" s="35" t="s">
        <v>51</v>
      </c>
      <c r="R2" s="35">
        <v>7</v>
      </c>
      <c r="S2" s="35" t="s">
        <v>51</v>
      </c>
      <c r="T2" s="30" t="s">
        <v>140</v>
      </c>
      <c r="U2" s="35" t="s">
        <v>51</v>
      </c>
      <c r="V2" s="35" t="s">
        <v>52</v>
      </c>
      <c r="W2" s="35"/>
      <c r="X2" s="35" t="s">
        <v>52</v>
      </c>
      <c r="Y2" s="35" t="s">
        <v>287</v>
      </c>
      <c r="Z2" s="35" t="s">
        <v>287</v>
      </c>
      <c r="AA2" s="30" t="s">
        <v>51</v>
      </c>
      <c r="AB2" s="35" t="s">
        <v>88</v>
      </c>
      <c r="AC2" s="35" t="s">
        <v>89</v>
      </c>
      <c r="AD2" s="35" t="s">
        <v>141</v>
      </c>
      <c r="AE2" s="35" t="s">
        <v>82</v>
      </c>
      <c r="AF2" s="35" t="s">
        <v>82</v>
      </c>
      <c r="AG2" s="35" t="s">
        <v>52</v>
      </c>
      <c r="AH2" s="35" t="s">
        <v>82</v>
      </c>
      <c r="AI2" s="35" t="s">
        <v>82</v>
      </c>
      <c r="AJ2" s="35" t="s">
        <v>82</v>
      </c>
      <c r="AK2" s="35" t="s">
        <v>52</v>
      </c>
      <c r="AL2" s="35" t="s">
        <v>287</v>
      </c>
      <c r="AM2" s="35" t="s">
        <v>287</v>
      </c>
      <c r="AN2" s="35" t="s">
        <v>287</v>
      </c>
      <c r="AO2" s="35" t="s">
        <v>287</v>
      </c>
      <c r="AP2" s="35" t="s">
        <v>287</v>
      </c>
      <c r="AQ2" s="35" t="s">
        <v>287</v>
      </c>
      <c r="AR2" s="35" t="s">
        <v>52</v>
      </c>
      <c r="AS2" s="35" t="s">
        <v>52</v>
      </c>
      <c r="AT2" s="35" t="s">
        <v>52</v>
      </c>
      <c r="AU2" s="35" t="s">
        <v>287</v>
      </c>
      <c r="AV2" s="35" t="s">
        <v>287</v>
      </c>
      <c r="AW2" s="35" t="s">
        <v>287</v>
      </c>
      <c r="AX2" s="35" t="s">
        <v>287</v>
      </c>
      <c r="AY2" s="35" t="s">
        <v>287</v>
      </c>
    </row>
    <row r="3" spans="1:51" s="30" customFormat="1" ht="14" x14ac:dyDescent="0.2">
      <c r="A3" s="38">
        <v>1</v>
      </c>
      <c r="B3" s="38" t="s">
        <v>142</v>
      </c>
      <c r="C3" s="35" t="s">
        <v>138</v>
      </c>
      <c r="D3" s="35" t="s">
        <v>139</v>
      </c>
      <c r="E3" s="41">
        <v>43805</v>
      </c>
      <c r="F3" s="35" t="s">
        <v>143</v>
      </c>
      <c r="G3" s="35">
        <v>2</v>
      </c>
      <c r="H3" s="35" t="s">
        <v>51</v>
      </c>
      <c r="I3" s="35" t="s">
        <v>51</v>
      </c>
      <c r="J3" s="41">
        <v>43594</v>
      </c>
      <c r="K3" s="35" t="s">
        <v>51</v>
      </c>
      <c r="L3" s="35">
        <v>1050</v>
      </c>
      <c r="M3" s="35" t="s">
        <v>51</v>
      </c>
      <c r="N3" s="35">
        <v>35</v>
      </c>
      <c r="O3" s="35" t="s">
        <v>52</v>
      </c>
      <c r="P3" s="35"/>
      <c r="Q3" s="35" t="s">
        <v>51</v>
      </c>
      <c r="R3" s="35">
        <v>12</v>
      </c>
      <c r="S3" s="35" t="s">
        <v>52</v>
      </c>
      <c r="U3" s="35" t="s">
        <v>287</v>
      </c>
      <c r="V3" s="35" t="s">
        <v>51</v>
      </c>
      <c r="W3" s="35" t="s">
        <v>144</v>
      </c>
      <c r="X3" s="35" t="s">
        <v>52</v>
      </c>
      <c r="Y3" s="35" t="s">
        <v>287</v>
      </c>
      <c r="Z3" s="35" t="s">
        <v>51</v>
      </c>
      <c r="AA3" s="30" t="s">
        <v>51</v>
      </c>
      <c r="AB3" s="35" t="s">
        <v>54</v>
      </c>
      <c r="AC3" s="35" t="s">
        <v>55</v>
      </c>
      <c r="AD3" s="35" t="s">
        <v>56</v>
      </c>
      <c r="AE3" s="35" t="s">
        <v>51</v>
      </c>
      <c r="AF3" s="35" t="s">
        <v>51</v>
      </c>
      <c r="AG3" s="35" t="s">
        <v>51</v>
      </c>
      <c r="AH3" s="35" t="s">
        <v>51</v>
      </c>
      <c r="AI3" s="35" t="s">
        <v>82</v>
      </c>
      <c r="AJ3" s="35" t="s">
        <v>82</v>
      </c>
      <c r="AK3" s="35" t="s">
        <v>51</v>
      </c>
      <c r="AL3" s="35" t="s">
        <v>51</v>
      </c>
      <c r="AM3" s="35" t="s">
        <v>51</v>
      </c>
      <c r="AN3" s="35" t="s">
        <v>51</v>
      </c>
      <c r="AO3" s="35" t="s">
        <v>287</v>
      </c>
      <c r="AP3" s="35" t="s">
        <v>52</v>
      </c>
      <c r="AQ3" s="35" t="s">
        <v>145</v>
      </c>
      <c r="AR3" s="35" t="s">
        <v>52</v>
      </c>
      <c r="AS3" s="35" t="s">
        <v>52</v>
      </c>
      <c r="AT3" s="35" t="s">
        <v>52</v>
      </c>
      <c r="AU3" s="35" t="s">
        <v>287</v>
      </c>
      <c r="AV3" s="35" t="s">
        <v>287</v>
      </c>
      <c r="AW3" s="35" t="s">
        <v>287</v>
      </c>
      <c r="AX3" s="35" t="s">
        <v>287</v>
      </c>
      <c r="AY3" s="35" t="s">
        <v>287</v>
      </c>
    </row>
    <row r="4" spans="1:51" s="30" customFormat="1" ht="14" x14ac:dyDescent="0.2">
      <c r="A4" s="42">
        <v>1</v>
      </c>
      <c r="B4" s="42" t="s">
        <v>153</v>
      </c>
      <c r="C4" s="43" t="s">
        <v>138</v>
      </c>
      <c r="D4" s="43" t="s">
        <v>139</v>
      </c>
      <c r="E4" s="44">
        <v>43914</v>
      </c>
      <c r="F4" s="43"/>
      <c r="G4" s="43">
        <v>3</v>
      </c>
      <c r="H4" s="43" t="s">
        <v>51</v>
      </c>
      <c r="I4" s="43" t="s">
        <v>51</v>
      </c>
      <c r="J4" s="44">
        <v>43739</v>
      </c>
      <c r="K4" s="43" t="s">
        <v>52</v>
      </c>
      <c r="L4" s="43"/>
      <c r="M4" s="43" t="s">
        <v>52</v>
      </c>
      <c r="N4" s="43"/>
      <c r="O4" s="43" t="s">
        <v>52</v>
      </c>
      <c r="P4" s="43"/>
      <c r="Q4" s="43" t="s">
        <v>51</v>
      </c>
      <c r="R4" s="43">
        <v>7</v>
      </c>
      <c r="S4" s="43" t="s">
        <v>51</v>
      </c>
      <c r="T4" s="43" t="s">
        <v>140</v>
      </c>
      <c r="U4" s="43" t="s">
        <v>51</v>
      </c>
      <c r="V4" s="43" t="s">
        <v>52</v>
      </c>
      <c r="W4" s="43"/>
      <c r="X4" s="43" t="s">
        <v>52</v>
      </c>
      <c r="Y4" s="35" t="s">
        <v>287</v>
      </c>
      <c r="Z4" s="43" t="s">
        <v>287</v>
      </c>
      <c r="AA4" s="30" t="s">
        <v>51</v>
      </c>
      <c r="AB4" s="43" t="s">
        <v>88</v>
      </c>
      <c r="AC4" s="43" t="s">
        <v>89</v>
      </c>
      <c r="AD4" s="43" t="s">
        <v>141</v>
      </c>
      <c r="AE4" s="43" t="s">
        <v>82</v>
      </c>
      <c r="AF4" s="43" t="s">
        <v>82</v>
      </c>
      <c r="AG4" s="35" t="s">
        <v>52</v>
      </c>
      <c r="AH4" s="43" t="s">
        <v>82</v>
      </c>
      <c r="AI4" s="43" t="s">
        <v>82</v>
      </c>
      <c r="AJ4" s="43" t="s">
        <v>82</v>
      </c>
      <c r="AK4" s="43" t="s">
        <v>52</v>
      </c>
      <c r="AL4" s="35" t="s">
        <v>287</v>
      </c>
      <c r="AM4" s="35" t="s">
        <v>287</v>
      </c>
      <c r="AN4" s="35" t="s">
        <v>287</v>
      </c>
      <c r="AO4" s="35" t="s">
        <v>287</v>
      </c>
      <c r="AP4" s="35" t="s">
        <v>287</v>
      </c>
      <c r="AQ4" s="35" t="s">
        <v>287</v>
      </c>
      <c r="AR4" s="35" t="s">
        <v>52</v>
      </c>
      <c r="AS4" s="43" t="s">
        <v>52</v>
      </c>
      <c r="AT4" s="43" t="s">
        <v>52</v>
      </c>
      <c r="AU4" s="35" t="s">
        <v>287</v>
      </c>
      <c r="AV4" s="35" t="s">
        <v>287</v>
      </c>
      <c r="AW4" s="35" t="s">
        <v>287</v>
      </c>
      <c r="AX4" s="35" t="s">
        <v>287</v>
      </c>
      <c r="AY4" s="35" t="s">
        <v>287</v>
      </c>
    </row>
    <row r="5" spans="1:51" s="30" customFormat="1" ht="14" x14ac:dyDescent="0.2">
      <c r="A5" s="38">
        <v>2</v>
      </c>
      <c r="B5" s="38" t="s">
        <v>286</v>
      </c>
      <c r="C5" s="35" t="s">
        <v>150</v>
      </c>
      <c r="D5" s="35" t="s">
        <v>151</v>
      </c>
      <c r="E5" s="41">
        <v>44267</v>
      </c>
      <c r="F5" s="35" t="s">
        <v>152</v>
      </c>
      <c r="G5" s="43">
        <v>1</v>
      </c>
      <c r="H5" s="43" t="s">
        <v>51</v>
      </c>
      <c r="I5" s="43" t="s">
        <v>51</v>
      </c>
      <c r="J5" s="44">
        <v>44102</v>
      </c>
      <c r="K5" s="43" t="s">
        <v>51</v>
      </c>
      <c r="L5" s="43">
        <v>7604</v>
      </c>
      <c r="M5" s="43" t="s">
        <v>51</v>
      </c>
      <c r="N5" s="43">
        <v>10</v>
      </c>
      <c r="O5" s="43" t="s">
        <v>51</v>
      </c>
      <c r="P5" s="43">
        <v>4263</v>
      </c>
      <c r="Q5" s="43" t="s">
        <v>51</v>
      </c>
      <c r="R5" s="43">
        <v>2</v>
      </c>
      <c r="S5" s="43" t="s">
        <v>52</v>
      </c>
      <c r="T5" s="43"/>
      <c r="U5" s="43" t="s">
        <v>287</v>
      </c>
      <c r="V5" s="43" t="s">
        <v>51</v>
      </c>
      <c r="W5" s="43" t="s">
        <v>53</v>
      </c>
      <c r="X5" s="43" t="s">
        <v>52</v>
      </c>
      <c r="Y5" s="43" t="s">
        <v>287</v>
      </c>
      <c r="Z5" s="43" t="s">
        <v>52</v>
      </c>
      <c r="AA5" s="30" t="s">
        <v>51</v>
      </c>
      <c r="AB5" s="43" t="s">
        <v>54</v>
      </c>
      <c r="AC5" s="43" t="s">
        <v>55</v>
      </c>
      <c r="AD5" s="43" t="s">
        <v>56</v>
      </c>
      <c r="AE5" s="43" t="s">
        <v>51</v>
      </c>
      <c r="AF5" s="43" t="s">
        <v>51</v>
      </c>
      <c r="AG5" s="43" t="s">
        <v>52</v>
      </c>
      <c r="AH5" s="43" t="s">
        <v>51</v>
      </c>
      <c r="AI5" s="43" t="s">
        <v>51</v>
      </c>
      <c r="AJ5" s="43" t="s">
        <v>51</v>
      </c>
      <c r="AK5" s="43" t="s">
        <v>51</v>
      </c>
      <c r="AL5" s="43" t="s">
        <v>51</v>
      </c>
      <c r="AM5" s="43" t="s">
        <v>51</v>
      </c>
      <c r="AN5" s="43" t="s">
        <v>52</v>
      </c>
      <c r="AO5" s="43" t="s">
        <v>287</v>
      </c>
      <c r="AP5" s="43" t="s">
        <v>57</v>
      </c>
      <c r="AQ5" s="43" t="s">
        <v>287</v>
      </c>
      <c r="AR5" s="35" t="s">
        <v>52</v>
      </c>
      <c r="AS5" s="43" t="s">
        <v>51</v>
      </c>
      <c r="AT5" s="43" t="s">
        <v>51</v>
      </c>
      <c r="AU5" s="43" t="s">
        <v>78</v>
      </c>
      <c r="AV5" s="43" t="s">
        <v>287</v>
      </c>
      <c r="AW5" s="43" t="s">
        <v>287</v>
      </c>
      <c r="AX5" s="43" t="s">
        <v>69</v>
      </c>
      <c r="AY5" s="43" t="s">
        <v>287</v>
      </c>
    </row>
    <row r="6" spans="1:51" s="30" customFormat="1" ht="14" x14ac:dyDescent="0.2">
      <c r="A6" s="29">
        <v>6</v>
      </c>
      <c r="B6" s="29" t="s">
        <v>285</v>
      </c>
      <c r="C6" s="30" t="s">
        <v>146</v>
      </c>
      <c r="D6" s="30" t="s">
        <v>147</v>
      </c>
      <c r="E6" s="31">
        <v>44266</v>
      </c>
      <c r="F6" s="30" t="s">
        <v>148</v>
      </c>
      <c r="G6" s="30">
        <v>1</v>
      </c>
      <c r="H6" s="30" t="s">
        <v>51</v>
      </c>
      <c r="I6" s="30" t="s">
        <v>51</v>
      </c>
      <c r="J6" s="31">
        <v>44137</v>
      </c>
      <c r="K6" s="30" t="s">
        <v>51</v>
      </c>
      <c r="L6" s="32">
        <v>15359</v>
      </c>
      <c r="M6" s="30" t="s">
        <v>51</v>
      </c>
      <c r="N6" s="32">
        <v>82</v>
      </c>
      <c r="O6" s="30" t="s">
        <v>52</v>
      </c>
      <c r="Q6" s="30" t="s">
        <v>51</v>
      </c>
      <c r="R6" s="30">
        <v>49</v>
      </c>
      <c r="S6" s="30" t="s">
        <v>52</v>
      </c>
      <c r="U6" s="43" t="s">
        <v>287</v>
      </c>
      <c r="V6" s="30" t="s">
        <v>51</v>
      </c>
      <c r="W6" s="30" t="s">
        <v>149</v>
      </c>
      <c r="X6" s="30" t="s">
        <v>52</v>
      </c>
      <c r="Y6" s="30" t="s">
        <v>287</v>
      </c>
      <c r="Z6" s="43" t="s">
        <v>52</v>
      </c>
      <c r="AA6" s="30" t="s">
        <v>51</v>
      </c>
      <c r="AB6" s="30" t="s">
        <v>54</v>
      </c>
      <c r="AC6" s="30" t="s">
        <v>55</v>
      </c>
      <c r="AD6" s="30" t="s">
        <v>56</v>
      </c>
      <c r="AE6" s="30" t="s">
        <v>51</v>
      </c>
      <c r="AF6" s="30" t="s">
        <v>51</v>
      </c>
      <c r="AG6" s="30" t="s">
        <v>51</v>
      </c>
      <c r="AH6" s="30" t="s">
        <v>51</v>
      </c>
      <c r="AI6" s="30" t="s">
        <v>51</v>
      </c>
      <c r="AJ6" s="30" t="s">
        <v>51</v>
      </c>
      <c r="AK6" s="30" t="s">
        <v>51</v>
      </c>
      <c r="AL6" s="30" t="s">
        <v>51</v>
      </c>
      <c r="AM6" s="30" t="s">
        <v>51</v>
      </c>
      <c r="AN6" s="30" t="s">
        <v>51</v>
      </c>
      <c r="AO6" s="43" t="s">
        <v>287</v>
      </c>
      <c r="AP6" s="30" t="s">
        <v>57</v>
      </c>
      <c r="AQ6" s="43" t="s">
        <v>287</v>
      </c>
      <c r="AR6" s="35" t="s">
        <v>52</v>
      </c>
      <c r="AS6" s="30" t="s">
        <v>52</v>
      </c>
      <c r="AT6" s="30" t="s">
        <v>51</v>
      </c>
      <c r="AU6" s="30" t="s">
        <v>78</v>
      </c>
      <c r="AV6" s="43" t="s">
        <v>287</v>
      </c>
      <c r="AW6" s="43" t="s">
        <v>287</v>
      </c>
      <c r="AX6" s="30" t="s">
        <v>69</v>
      </c>
      <c r="AY6" s="30" t="s">
        <v>287</v>
      </c>
    </row>
    <row r="7" spans="1:51" s="30" customFormat="1" x14ac:dyDescent="0.2">
      <c r="A7" s="29">
        <v>9</v>
      </c>
      <c r="B7" s="29" t="s">
        <v>47</v>
      </c>
      <c r="C7" s="30" t="s">
        <v>48</v>
      </c>
      <c r="D7" s="30" t="s">
        <v>49</v>
      </c>
      <c r="E7" s="31">
        <v>44316</v>
      </c>
      <c r="F7" s="30" t="s">
        <v>50</v>
      </c>
      <c r="G7" s="30">
        <v>1</v>
      </c>
      <c r="H7" s="30" t="s">
        <v>51</v>
      </c>
      <c r="I7" s="30" t="s">
        <v>51</v>
      </c>
      <c r="J7" s="31">
        <v>44196</v>
      </c>
      <c r="K7" s="30" t="s">
        <v>51</v>
      </c>
      <c r="L7" s="45">
        <v>6886</v>
      </c>
      <c r="M7" s="30" t="s">
        <v>51</v>
      </c>
      <c r="N7" s="45">
        <v>7</v>
      </c>
      <c r="O7" s="30" t="s">
        <v>52</v>
      </c>
      <c r="Q7" s="33" t="s">
        <v>52</v>
      </c>
      <c r="R7" s="33"/>
      <c r="S7" s="30" t="s">
        <v>52</v>
      </c>
      <c r="U7" s="43" t="s">
        <v>287</v>
      </c>
      <c r="V7" s="30" t="s">
        <v>51</v>
      </c>
      <c r="W7" s="30" t="s">
        <v>53</v>
      </c>
      <c r="X7" s="30" t="s">
        <v>52</v>
      </c>
      <c r="Y7" s="30" t="s">
        <v>287</v>
      </c>
      <c r="Z7" s="43" t="s">
        <v>52</v>
      </c>
      <c r="AA7" s="30" t="s">
        <v>51</v>
      </c>
      <c r="AB7" s="46" t="s">
        <v>54</v>
      </c>
      <c r="AC7" s="30" t="s">
        <v>55</v>
      </c>
      <c r="AD7" s="30" t="s">
        <v>56</v>
      </c>
      <c r="AE7" s="30" t="s">
        <v>51</v>
      </c>
      <c r="AF7" s="30" t="s">
        <v>51</v>
      </c>
      <c r="AG7" s="30" t="s">
        <v>51</v>
      </c>
      <c r="AH7" s="30" t="s">
        <v>51</v>
      </c>
      <c r="AI7" s="30" t="s">
        <v>51</v>
      </c>
      <c r="AJ7" s="30" t="s">
        <v>51</v>
      </c>
      <c r="AK7" s="30" t="s">
        <v>51</v>
      </c>
      <c r="AL7" s="30" t="s">
        <v>51</v>
      </c>
      <c r="AM7" s="30" t="s">
        <v>51</v>
      </c>
      <c r="AN7" s="30" t="s">
        <v>52</v>
      </c>
      <c r="AO7" s="43" t="s">
        <v>287</v>
      </c>
      <c r="AP7" s="30" t="s">
        <v>57</v>
      </c>
      <c r="AQ7" s="43" t="s">
        <v>287</v>
      </c>
      <c r="AR7" s="30" t="s">
        <v>51</v>
      </c>
      <c r="AS7" s="30" t="s">
        <v>287</v>
      </c>
      <c r="AT7" s="30" t="s">
        <v>287</v>
      </c>
      <c r="AU7" s="30" t="s">
        <v>287</v>
      </c>
      <c r="AV7" s="30" t="s">
        <v>287</v>
      </c>
      <c r="AW7" s="30" t="s">
        <v>287</v>
      </c>
      <c r="AX7" s="30" t="s">
        <v>287</v>
      </c>
      <c r="AY7" s="30" t="s">
        <v>287</v>
      </c>
    </row>
    <row r="8" spans="1:51" s="30" customFormat="1" x14ac:dyDescent="0.2">
      <c r="A8" s="29">
        <v>11</v>
      </c>
      <c r="B8" s="29" t="s">
        <v>58</v>
      </c>
      <c r="C8" s="30" t="s">
        <v>59</v>
      </c>
      <c r="D8" s="30" t="s">
        <v>60</v>
      </c>
      <c r="E8" s="31">
        <v>44313</v>
      </c>
      <c r="F8" s="30" t="s">
        <v>61</v>
      </c>
      <c r="G8" s="30">
        <v>1</v>
      </c>
      <c r="H8" s="30" t="s">
        <v>51</v>
      </c>
      <c r="I8" s="30" t="s">
        <v>51</v>
      </c>
      <c r="J8" s="31">
        <v>44251</v>
      </c>
      <c r="K8" s="30" t="s">
        <v>52</v>
      </c>
      <c r="L8" s="32"/>
      <c r="M8" s="30" t="s">
        <v>52</v>
      </c>
      <c r="N8" s="32"/>
      <c r="O8" s="30" t="s">
        <v>51</v>
      </c>
      <c r="P8" s="30">
        <v>1600</v>
      </c>
      <c r="Q8" s="30" t="s">
        <v>51</v>
      </c>
      <c r="R8" s="30">
        <v>36</v>
      </c>
      <c r="S8" s="30" t="s">
        <v>52</v>
      </c>
      <c r="U8" s="43" t="s">
        <v>287</v>
      </c>
      <c r="V8" s="30" t="s">
        <v>51</v>
      </c>
      <c r="W8" s="30" t="s">
        <v>62</v>
      </c>
      <c r="X8" s="30" t="s">
        <v>52</v>
      </c>
      <c r="Y8" s="30" t="s">
        <v>287</v>
      </c>
      <c r="Z8" s="43" t="s">
        <v>52</v>
      </c>
      <c r="AA8" s="30" t="s">
        <v>51</v>
      </c>
      <c r="AB8" s="46" t="s">
        <v>54</v>
      </c>
      <c r="AC8" s="30" t="s">
        <v>55</v>
      </c>
      <c r="AD8" s="30" t="s">
        <v>56</v>
      </c>
      <c r="AE8" s="30" t="s">
        <v>51</v>
      </c>
      <c r="AF8" s="30" t="s">
        <v>51</v>
      </c>
      <c r="AG8" s="30" t="s">
        <v>52</v>
      </c>
      <c r="AH8" s="30" t="s">
        <v>51</v>
      </c>
      <c r="AI8" s="30" t="s">
        <v>51</v>
      </c>
      <c r="AJ8" s="30" t="s">
        <v>51</v>
      </c>
      <c r="AK8" s="30" t="s">
        <v>51</v>
      </c>
      <c r="AL8" s="30" t="s">
        <v>51</v>
      </c>
      <c r="AM8" s="30" t="s">
        <v>51</v>
      </c>
      <c r="AN8" s="30" t="s">
        <v>51</v>
      </c>
      <c r="AO8" s="43" t="s">
        <v>287</v>
      </c>
      <c r="AP8" s="30" t="s">
        <v>51</v>
      </c>
      <c r="AQ8" s="43" t="s">
        <v>287</v>
      </c>
      <c r="AR8" s="30" t="s">
        <v>52</v>
      </c>
      <c r="AS8" s="30" t="s">
        <v>52</v>
      </c>
      <c r="AT8" s="30" t="s">
        <v>52</v>
      </c>
      <c r="AU8" s="35" t="s">
        <v>287</v>
      </c>
      <c r="AV8" s="35" t="s">
        <v>287</v>
      </c>
      <c r="AW8" s="35" t="s">
        <v>287</v>
      </c>
      <c r="AX8" s="35" t="s">
        <v>287</v>
      </c>
      <c r="AY8" s="35" t="s">
        <v>287</v>
      </c>
    </row>
    <row r="9" spans="1:51" s="30" customFormat="1" ht="14" x14ac:dyDescent="0.2">
      <c r="A9" s="29">
        <v>13</v>
      </c>
      <c r="B9" s="29" t="s">
        <v>63</v>
      </c>
      <c r="C9" s="30" t="s">
        <v>64</v>
      </c>
      <c r="D9" s="30" t="s">
        <v>65</v>
      </c>
      <c r="E9" s="31">
        <v>45078</v>
      </c>
      <c r="F9" s="30" t="s">
        <v>66</v>
      </c>
      <c r="G9" s="30">
        <v>5</v>
      </c>
      <c r="H9" s="30" t="s">
        <v>51</v>
      </c>
      <c r="I9" s="30" t="s">
        <v>51</v>
      </c>
      <c r="J9" s="31">
        <v>44719</v>
      </c>
      <c r="K9" s="30" t="s">
        <v>51</v>
      </c>
      <c r="L9" s="32">
        <f>14709+49770</f>
        <v>64479</v>
      </c>
      <c r="M9" s="30" t="s">
        <v>51</v>
      </c>
      <c r="N9" s="32">
        <v>32</v>
      </c>
      <c r="O9" s="30" t="s">
        <v>51</v>
      </c>
      <c r="P9" s="30">
        <f>3442+1636</f>
        <v>5078</v>
      </c>
      <c r="Q9" s="30" t="s">
        <v>51</v>
      </c>
      <c r="R9" s="30">
        <v>22</v>
      </c>
      <c r="S9" s="30" t="s">
        <v>52</v>
      </c>
      <c r="U9" s="43" t="s">
        <v>287</v>
      </c>
      <c r="V9" s="30" t="s">
        <v>51</v>
      </c>
      <c r="W9" s="30" t="s">
        <v>53</v>
      </c>
      <c r="X9" s="30" t="s">
        <v>52</v>
      </c>
      <c r="Y9" s="30" t="s">
        <v>287</v>
      </c>
      <c r="Z9" s="30" t="s">
        <v>51</v>
      </c>
      <c r="AA9" s="30" t="s">
        <v>51</v>
      </c>
      <c r="AB9" s="30" t="s">
        <v>54</v>
      </c>
      <c r="AC9" s="30" t="s">
        <v>55</v>
      </c>
      <c r="AD9" s="30" t="s">
        <v>56</v>
      </c>
      <c r="AE9" s="30" t="s">
        <v>51</v>
      </c>
      <c r="AF9" s="30" t="s">
        <v>51</v>
      </c>
      <c r="AG9" s="30" t="s">
        <v>51</v>
      </c>
      <c r="AH9" s="30" t="s">
        <v>51</v>
      </c>
      <c r="AI9" s="30" t="s">
        <v>51</v>
      </c>
      <c r="AJ9" s="30" t="s">
        <v>51</v>
      </c>
      <c r="AK9" s="30" t="s">
        <v>51</v>
      </c>
      <c r="AL9" s="30" t="s">
        <v>51</v>
      </c>
      <c r="AM9" s="30" t="s">
        <v>51</v>
      </c>
      <c r="AN9" s="30" t="s">
        <v>51</v>
      </c>
      <c r="AO9" s="43" t="s">
        <v>287</v>
      </c>
      <c r="AP9" s="30" t="s">
        <v>57</v>
      </c>
      <c r="AQ9" s="43" t="s">
        <v>287</v>
      </c>
      <c r="AR9" s="30" t="s">
        <v>51</v>
      </c>
      <c r="AS9" s="30" t="s">
        <v>287</v>
      </c>
      <c r="AT9" s="30" t="s">
        <v>287</v>
      </c>
      <c r="AU9" s="30" t="s">
        <v>287</v>
      </c>
      <c r="AV9" s="30" t="s">
        <v>287</v>
      </c>
      <c r="AW9" s="30" t="s">
        <v>287</v>
      </c>
      <c r="AX9" s="30" t="s">
        <v>287</v>
      </c>
      <c r="AY9" s="30" t="s">
        <v>287</v>
      </c>
    </row>
    <row r="10" spans="1:51" s="30" customFormat="1" ht="14" x14ac:dyDescent="0.2">
      <c r="A10" s="29">
        <v>13</v>
      </c>
      <c r="B10" s="29" t="s">
        <v>275</v>
      </c>
      <c r="C10" s="30" t="s">
        <v>276</v>
      </c>
      <c r="D10" s="30" t="s">
        <v>278</v>
      </c>
      <c r="E10" s="31" t="s">
        <v>287</v>
      </c>
      <c r="G10" s="30">
        <v>1</v>
      </c>
      <c r="H10" s="30" t="s">
        <v>51</v>
      </c>
      <c r="I10" s="30" t="s">
        <v>52</v>
      </c>
      <c r="J10" s="31">
        <v>44655</v>
      </c>
      <c r="K10" s="30" t="s">
        <v>52</v>
      </c>
      <c r="L10" s="32"/>
      <c r="M10" s="30" t="s">
        <v>52</v>
      </c>
      <c r="N10" s="32"/>
      <c r="O10" s="30" t="s">
        <v>52</v>
      </c>
      <c r="Q10" s="30" t="s">
        <v>52</v>
      </c>
      <c r="S10" s="30" t="s">
        <v>51</v>
      </c>
      <c r="T10" s="30" t="s">
        <v>284</v>
      </c>
      <c r="U10" s="30" t="s">
        <v>51</v>
      </c>
      <c r="V10" s="30" t="s">
        <v>52</v>
      </c>
      <c r="X10" s="30" t="s">
        <v>52</v>
      </c>
      <c r="Y10" s="30" t="s">
        <v>287</v>
      </c>
      <c r="AA10" s="30" t="s">
        <v>51</v>
      </c>
      <c r="AB10" s="30" t="s">
        <v>88</v>
      </c>
      <c r="AC10" s="30" t="s">
        <v>89</v>
      </c>
      <c r="AD10" s="30" t="s">
        <v>141</v>
      </c>
      <c r="AE10" s="30" t="s">
        <v>82</v>
      </c>
      <c r="AF10" s="30" t="s">
        <v>82</v>
      </c>
      <c r="AG10" s="30" t="s">
        <v>52</v>
      </c>
      <c r="AH10" s="30" t="s">
        <v>82</v>
      </c>
      <c r="AI10" s="30" t="s">
        <v>82</v>
      </c>
      <c r="AJ10" s="30" t="s">
        <v>82</v>
      </c>
      <c r="AK10" s="30" t="s">
        <v>52</v>
      </c>
      <c r="AL10" s="30" t="s">
        <v>287</v>
      </c>
      <c r="AM10" s="30" t="s">
        <v>287</v>
      </c>
      <c r="AN10" s="30" t="s">
        <v>287</v>
      </c>
      <c r="AO10" s="30" t="s">
        <v>287</v>
      </c>
      <c r="AP10" s="30" t="s">
        <v>287</v>
      </c>
      <c r="AQ10" s="30" t="s">
        <v>287</v>
      </c>
      <c r="AR10" s="30" t="s">
        <v>52</v>
      </c>
      <c r="AS10" s="30" t="s">
        <v>51</v>
      </c>
      <c r="AT10" s="30" t="s">
        <v>51</v>
      </c>
      <c r="AU10" s="30" t="s">
        <v>90</v>
      </c>
      <c r="AV10" s="30" t="s">
        <v>68</v>
      </c>
      <c r="AW10" s="30">
        <v>3</v>
      </c>
      <c r="AX10" s="30" t="s">
        <v>287</v>
      </c>
      <c r="AY10" s="30" t="s">
        <v>287</v>
      </c>
    </row>
    <row r="11" spans="1:51" s="30" customFormat="1" ht="14" x14ac:dyDescent="0.2">
      <c r="A11" s="29">
        <v>13</v>
      </c>
      <c r="B11" s="29" t="s">
        <v>279</v>
      </c>
      <c r="C11" s="30" t="s">
        <v>276</v>
      </c>
      <c r="D11" s="30" t="s">
        <v>278</v>
      </c>
      <c r="E11" s="31" t="s">
        <v>287</v>
      </c>
      <c r="G11" s="30">
        <v>2</v>
      </c>
      <c r="H11" s="30" t="s">
        <v>51</v>
      </c>
      <c r="I11" s="30" t="s">
        <v>52</v>
      </c>
      <c r="J11" s="31">
        <v>44685</v>
      </c>
      <c r="K11" s="30" t="s">
        <v>52</v>
      </c>
      <c r="L11" s="32"/>
      <c r="M11" s="30" t="s">
        <v>52</v>
      </c>
      <c r="N11" s="32"/>
      <c r="O11" s="30" t="s">
        <v>52</v>
      </c>
      <c r="Q11" s="30" t="s">
        <v>52</v>
      </c>
      <c r="S11" s="30" t="s">
        <v>51</v>
      </c>
      <c r="T11" s="30" t="s">
        <v>284</v>
      </c>
      <c r="U11" s="30" t="s">
        <v>51</v>
      </c>
      <c r="V11" s="30" t="s">
        <v>52</v>
      </c>
      <c r="X11" s="30" t="s">
        <v>52</v>
      </c>
      <c r="Y11" s="30" t="s">
        <v>287</v>
      </c>
      <c r="AA11" s="30" t="s">
        <v>51</v>
      </c>
      <c r="AB11" s="30" t="s">
        <v>88</v>
      </c>
      <c r="AC11" s="30" t="s">
        <v>89</v>
      </c>
      <c r="AD11" s="30" t="s">
        <v>141</v>
      </c>
      <c r="AE11" s="30" t="s">
        <v>82</v>
      </c>
      <c r="AF11" s="30" t="s">
        <v>82</v>
      </c>
      <c r="AG11" s="30" t="s">
        <v>52</v>
      </c>
      <c r="AH11" s="30" t="s">
        <v>82</v>
      </c>
      <c r="AI11" s="30" t="s">
        <v>82</v>
      </c>
      <c r="AJ11" s="30" t="s">
        <v>82</v>
      </c>
      <c r="AK11" s="30" t="s">
        <v>52</v>
      </c>
      <c r="AL11" s="30" t="s">
        <v>287</v>
      </c>
      <c r="AM11" s="30" t="s">
        <v>287</v>
      </c>
      <c r="AN11" s="30" t="s">
        <v>287</v>
      </c>
      <c r="AO11" s="30" t="s">
        <v>287</v>
      </c>
      <c r="AP11" s="30" t="s">
        <v>287</v>
      </c>
      <c r="AQ11" s="30" t="s">
        <v>287</v>
      </c>
      <c r="AR11" s="30" t="s">
        <v>52</v>
      </c>
      <c r="AS11" s="30" t="s">
        <v>51</v>
      </c>
      <c r="AT11" s="30" t="s">
        <v>51</v>
      </c>
      <c r="AU11" s="30" t="s">
        <v>90</v>
      </c>
      <c r="AV11" s="30" t="s">
        <v>68</v>
      </c>
      <c r="AW11" s="30">
        <v>3</v>
      </c>
      <c r="AX11" s="30" t="s">
        <v>287</v>
      </c>
      <c r="AY11" s="30" t="s">
        <v>287</v>
      </c>
    </row>
    <row r="12" spans="1:51" s="30" customFormat="1" ht="14" x14ac:dyDescent="0.2">
      <c r="A12" s="29">
        <v>13</v>
      </c>
      <c r="B12" s="29" t="s">
        <v>280</v>
      </c>
      <c r="C12" s="30" t="s">
        <v>276</v>
      </c>
      <c r="D12" s="30" t="s">
        <v>278</v>
      </c>
      <c r="E12" s="31" t="s">
        <v>287</v>
      </c>
      <c r="G12" s="30">
        <v>3</v>
      </c>
      <c r="H12" s="30" t="s">
        <v>51</v>
      </c>
      <c r="I12" s="30" t="s">
        <v>52</v>
      </c>
      <c r="J12" s="31">
        <v>44715</v>
      </c>
      <c r="K12" s="30" t="s">
        <v>52</v>
      </c>
      <c r="L12" s="32"/>
      <c r="M12" s="30" t="s">
        <v>52</v>
      </c>
      <c r="N12" s="32"/>
      <c r="O12" s="30" t="s">
        <v>52</v>
      </c>
      <c r="Q12" s="30" t="s">
        <v>52</v>
      </c>
      <c r="S12" s="30" t="s">
        <v>51</v>
      </c>
      <c r="T12" s="30" t="s">
        <v>284</v>
      </c>
      <c r="U12" s="30" t="s">
        <v>51</v>
      </c>
      <c r="V12" s="30" t="s">
        <v>52</v>
      </c>
      <c r="X12" s="30" t="s">
        <v>52</v>
      </c>
      <c r="Y12" s="30" t="s">
        <v>287</v>
      </c>
      <c r="AA12" s="30" t="s">
        <v>51</v>
      </c>
      <c r="AB12" s="30" t="s">
        <v>88</v>
      </c>
      <c r="AC12" s="30" t="s">
        <v>89</v>
      </c>
      <c r="AD12" s="30" t="s">
        <v>141</v>
      </c>
      <c r="AE12" s="30" t="s">
        <v>82</v>
      </c>
      <c r="AF12" s="30" t="s">
        <v>82</v>
      </c>
      <c r="AG12" s="30" t="s">
        <v>52</v>
      </c>
      <c r="AH12" s="30" t="s">
        <v>82</v>
      </c>
      <c r="AI12" s="30" t="s">
        <v>82</v>
      </c>
      <c r="AJ12" s="30" t="s">
        <v>82</v>
      </c>
      <c r="AK12" s="30" t="s">
        <v>52</v>
      </c>
      <c r="AL12" s="30" t="s">
        <v>287</v>
      </c>
      <c r="AM12" s="30" t="s">
        <v>287</v>
      </c>
      <c r="AN12" s="30" t="s">
        <v>287</v>
      </c>
      <c r="AO12" s="30" t="s">
        <v>287</v>
      </c>
      <c r="AP12" s="30" t="s">
        <v>287</v>
      </c>
      <c r="AQ12" s="30" t="s">
        <v>287</v>
      </c>
      <c r="AR12" s="30" t="s">
        <v>52</v>
      </c>
      <c r="AS12" s="30" t="s">
        <v>51</v>
      </c>
      <c r="AT12" s="30" t="s">
        <v>51</v>
      </c>
      <c r="AU12" s="30" t="s">
        <v>90</v>
      </c>
      <c r="AV12" s="30" t="s">
        <v>68</v>
      </c>
      <c r="AW12" s="30">
        <v>3</v>
      </c>
      <c r="AX12" s="30" t="s">
        <v>287</v>
      </c>
      <c r="AY12" s="30" t="s">
        <v>287</v>
      </c>
    </row>
    <row r="13" spans="1:51" s="30" customFormat="1" ht="14" x14ac:dyDescent="0.2">
      <c r="A13" s="29">
        <v>13</v>
      </c>
      <c r="B13" s="29" t="s">
        <v>281</v>
      </c>
      <c r="C13" s="30" t="s">
        <v>276</v>
      </c>
      <c r="D13" s="30" t="s">
        <v>278</v>
      </c>
      <c r="E13" s="31" t="s">
        <v>287</v>
      </c>
      <c r="G13" s="30">
        <v>4</v>
      </c>
      <c r="H13" s="30" t="s">
        <v>51</v>
      </c>
      <c r="I13" s="30" t="s">
        <v>52</v>
      </c>
      <c r="J13" s="31">
        <v>44746</v>
      </c>
      <c r="K13" s="30" t="s">
        <v>52</v>
      </c>
      <c r="L13" s="32"/>
      <c r="M13" s="30" t="s">
        <v>52</v>
      </c>
      <c r="N13" s="32"/>
      <c r="O13" s="30" t="s">
        <v>52</v>
      </c>
      <c r="Q13" s="30" t="s">
        <v>52</v>
      </c>
      <c r="S13" s="30" t="s">
        <v>51</v>
      </c>
      <c r="T13" s="30" t="s">
        <v>284</v>
      </c>
      <c r="U13" s="30" t="s">
        <v>51</v>
      </c>
      <c r="V13" s="30" t="s">
        <v>52</v>
      </c>
      <c r="X13" s="30" t="s">
        <v>52</v>
      </c>
      <c r="Y13" s="30" t="s">
        <v>287</v>
      </c>
      <c r="AA13" s="30" t="s">
        <v>51</v>
      </c>
      <c r="AB13" s="30" t="s">
        <v>88</v>
      </c>
      <c r="AC13" s="30" t="s">
        <v>89</v>
      </c>
      <c r="AD13" s="30" t="s">
        <v>141</v>
      </c>
      <c r="AE13" s="30" t="s">
        <v>82</v>
      </c>
      <c r="AF13" s="30" t="s">
        <v>82</v>
      </c>
      <c r="AG13" s="30" t="s">
        <v>52</v>
      </c>
      <c r="AH13" s="30" t="s">
        <v>82</v>
      </c>
      <c r="AI13" s="30" t="s">
        <v>82</v>
      </c>
      <c r="AJ13" s="30" t="s">
        <v>82</v>
      </c>
      <c r="AK13" s="30" t="s">
        <v>52</v>
      </c>
      <c r="AL13" s="30" t="s">
        <v>287</v>
      </c>
      <c r="AM13" s="30" t="s">
        <v>287</v>
      </c>
      <c r="AN13" s="30" t="s">
        <v>287</v>
      </c>
      <c r="AO13" s="30" t="s">
        <v>287</v>
      </c>
      <c r="AP13" s="30" t="s">
        <v>287</v>
      </c>
      <c r="AQ13" s="30" t="s">
        <v>287</v>
      </c>
      <c r="AR13" s="30" t="s">
        <v>52</v>
      </c>
      <c r="AS13" s="30" t="s">
        <v>51</v>
      </c>
      <c r="AT13" s="30" t="s">
        <v>51</v>
      </c>
      <c r="AU13" s="30" t="s">
        <v>90</v>
      </c>
      <c r="AV13" s="30" t="s">
        <v>68</v>
      </c>
      <c r="AW13" s="30">
        <v>3</v>
      </c>
      <c r="AX13" s="30" t="s">
        <v>287</v>
      </c>
      <c r="AY13" s="30" t="s">
        <v>287</v>
      </c>
    </row>
    <row r="14" spans="1:51" s="30" customFormat="1" ht="14" x14ac:dyDescent="0.2">
      <c r="A14" s="29">
        <v>13</v>
      </c>
      <c r="B14" s="29" t="s">
        <v>282</v>
      </c>
      <c r="C14" s="30" t="s">
        <v>276</v>
      </c>
      <c r="D14" s="30" t="s">
        <v>278</v>
      </c>
      <c r="E14" s="31" t="s">
        <v>287</v>
      </c>
      <c r="G14" s="30">
        <v>6</v>
      </c>
      <c r="H14" s="30" t="s">
        <v>51</v>
      </c>
      <c r="I14" s="30" t="s">
        <v>52</v>
      </c>
      <c r="J14" s="31">
        <v>44776</v>
      </c>
      <c r="K14" s="30" t="s">
        <v>52</v>
      </c>
      <c r="L14" s="32"/>
      <c r="M14" s="30" t="s">
        <v>52</v>
      </c>
      <c r="N14" s="32"/>
      <c r="O14" s="30" t="s">
        <v>52</v>
      </c>
      <c r="Q14" s="30" t="s">
        <v>52</v>
      </c>
      <c r="S14" s="30" t="s">
        <v>51</v>
      </c>
      <c r="T14" s="30" t="s">
        <v>284</v>
      </c>
      <c r="U14" s="30" t="s">
        <v>51</v>
      </c>
      <c r="V14" s="30" t="s">
        <v>52</v>
      </c>
      <c r="X14" s="30" t="s">
        <v>52</v>
      </c>
      <c r="Y14" s="30" t="s">
        <v>287</v>
      </c>
      <c r="AA14" s="30" t="s">
        <v>51</v>
      </c>
      <c r="AB14" s="30" t="s">
        <v>88</v>
      </c>
      <c r="AC14" s="30" t="s">
        <v>89</v>
      </c>
      <c r="AD14" s="30" t="s">
        <v>141</v>
      </c>
      <c r="AE14" s="30" t="s">
        <v>82</v>
      </c>
      <c r="AF14" s="30" t="s">
        <v>82</v>
      </c>
      <c r="AG14" s="30" t="s">
        <v>52</v>
      </c>
      <c r="AH14" s="30" t="s">
        <v>82</v>
      </c>
      <c r="AI14" s="30" t="s">
        <v>82</v>
      </c>
      <c r="AJ14" s="30" t="s">
        <v>82</v>
      </c>
      <c r="AK14" s="30" t="s">
        <v>52</v>
      </c>
      <c r="AL14" s="30" t="s">
        <v>287</v>
      </c>
      <c r="AM14" s="30" t="s">
        <v>287</v>
      </c>
      <c r="AN14" s="30" t="s">
        <v>287</v>
      </c>
      <c r="AO14" s="30" t="s">
        <v>287</v>
      </c>
      <c r="AP14" s="30" t="s">
        <v>287</v>
      </c>
      <c r="AQ14" s="30" t="s">
        <v>287</v>
      </c>
      <c r="AR14" s="30" t="s">
        <v>52</v>
      </c>
      <c r="AS14" s="30" t="s">
        <v>51</v>
      </c>
      <c r="AT14" s="30" t="s">
        <v>51</v>
      </c>
      <c r="AU14" s="30" t="s">
        <v>90</v>
      </c>
      <c r="AV14" s="30" t="s">
        <v>68</v>
      </c>
      <c r="AW14" s="30">
        <v>3</v>
      </c>
      <c r="AX14" s="30" t="s">
        <v>287</v>
      </c>
      <c r="AY14" s="30" t="s">
        <v>287</v>
      </c>
    </row>
    <row r="15" spans="1:51" s="30" customFormat="1" ht="14" x14ac:dyDescent="0.2">
      <c r="A15" s="29">
        <v>13</v>
      </c>
      <c r="B15" s="29" t="s">
        <v>283</v>
      </c>
      <c r="C15" s="30" t="s">
        <v>276</v>
      </c>
      <c r="D15" s="30" t="s">
        <v>278</v>
      </c>
      <c r="E15" s="31" t="s">
        <v>287</v>
      </c>
      <c r="G15" s="30">
        <v>7</v>
      </c>
      <c r="H15" s="30" t="s">
        <v>51</v>
      </c>
      <c r="I15" s="30" t="s">
        <v>52</v>
      </c>
      <c r="J15" s="31">
        <v>44809</v>
      </c>
      <c r="K15" s="30" t="s">
        <v>52</v>
      </c>
      <c r="L15" s="32"/>
      <c r="M15" s="30" t="s">
        <v>52</v>
      </c>
      <c r="N15" s="32"/>
      <c r="O15" s="30" t="s">
        <v>52</v>
      </c>
      <c r="Q15" s="30" t="s">
        <v>52</v>
      </c>
      <c r="S15" s="30" t="s">
        <v>51</v>
      </c>
      <c r="T15" s="30" t="s">
        <v>284</v>
      </c>
      <c r="U15" s="30" t="s">
        <v>51</v>
      </c>
      <c r="V15" s="30" t="s">
        <v>52</v>
      </c>
      <c r="X15" s="30" t="s">
        <v>52</v>
      </c>
      <c r="Y15" s="30" t="s">
        <v>287</v>
      </c>
      <c r="AA15" s="30" t="s">
        <v>51</v>
      </c>
      <c r="AB15" s="30" t="s">
        <v>88</v>
      </c>
      <c r="AC15" s="30" t="s">
        <v>89</v>
      </c>
      <c r="AD15" s="30" t="s">
        <v>141</v>
      </c>
      <c r="AE15" s="30" t="s">
        <v>82</v>
      </c>
      <c r="AF15" s="30" t="s">
        <v>82</v>
      </c>
      <c r="AG15" s="30" t="s">
        <v>52</v>
      </c>
      <c r="AH15" s="30" t="s">
        <v>82</v>
      </c>
      <c r="AI15" s="30" t="s">
        <v>82</v>
      </c>
      <c r="AJ15" s="30" t="s">
        <v>82</v>
      </c>
      <c r="AK15" s="30" t="s">
        <v>52</v>
      </c>
      <c r="AL15" s="30" t="s">
        <v>287</v>
      </c>
      <c r="AM15" s="30" t="s">
        <v>287</v>
      </c>
      <c r="AN15" s="30" t="s">
        <v>287</v>
      </c>
      <c r="AO15" s="30" t="s">
        <v>287</v>
      </c>
      <c r="AP15" s="30" t="s">
        <v>287</v>
      </c>
      <c r="AQ15" s="30" t="s">
        <v>287</v>
      </c>
      <c r="AR15" s="30" t="s">
        <v>52</v>
      </c>
      <c r="AS15" s="30" t="s">
        <v>51</v>
      </c>
      <c r="AT15" s="30" t="s">
        <v>51</v>
      </c>
      <c r="AU15" s="30" t="s">
        <v>90</v>
      </c>
      <c r="AV15" s="30" t="s">
        <v>68</v>
      </c>
      <c r="AW15" s="30">
        <v>3</v>
      </c>
      <c r="AX15" s="30" t="s">
        <v>287</v>
      </c>
      <c r="AY15" s="30" t="s">
        <v>287</v>
      </c>
    </row>
    <row r="16" spans="1:51" s="30" customFormat="1" ht="14" x14ac:dyDescent="0.2">
      <c r="A16" s="29">
        <v>13</v>
      </c>
      <c r="B16" s="29" t="s">
        <v>277</v>
      </c>
      <c r="C16" s="30" t="s">
        <v>276</v>
      </c>
      <c r="D16" s="30" t="s">
        <v>278</v>
      </c>
      <c r="E16" s="31" t="s">
        <v>287</v>
      </c>
      <c r="G16" s="30">
        <v>8</v>
      </c>
      <c r="H16" s="30" t="s">
        <v>51</v>
      </c>
      <c r="I16" s="30" t="s">
        <v>52</v>
      </c>
      <c r="J16" s="31">
        <v>44851</v>
      </c>
      <c r="K16" s="30" t="s">
        <v>52</v>
      </c>
      <c r="L16" s="32"/>
      <c r="M16" s="30" t="s">
        <v>52</v>
      </c>
      <c r="N16" s="32"/>
      <c r="O16" s="30" t="s">
        <v>52</v>
      </c>
      <c r="Q16" s="30" t="s">
        <v>52</v>
      </c>
      <c r="S16" s="30" t="s">
        <v>51</v>
      </c>
      <c r="T16" s="30" t="s">
        <v>284</v>
      </c>
      <c r="U16" s="30" t="s">
        <v>51</v>
      </c>
      <c r="V16" s="30" t="s">
        <v>52</v>
      </c>
      <c r="X16" s="30" t="s">
        <v>52</v>
      </c>
      <c r="Y16" s="30" t="s">
        <v>287</v>
      </c>
      <c r="AA16" s="30" t="s">
        <v>51</v>
      </c>
      <c r="AB16" s="30" t="s">
        <v>88</v>
      </c>
      <c r="AC16" s="30" t="s">
        <v>89</v>
      </c>
      <c r="AD16" s="30" t="s">
        <v>141</v>
      </c>
      <c r="AE16" s="30" t="s">
        <v>82</v>
      </c>
      <c r="AF16" s="30" t="s">
        <v>82</v>
      </c>
      <c r="AG16" s="30" t="s">
        <v>52</v>
      </c>
      <c r="AH16" s="30" t="s">
        <v>82</v>
      </c>
      <c r="AI16" s="30" t="s">
        <v>82</v>
      </c>
      <c r="AJ16" s="30" t="s">
        <v>82</v>
      </c>
      <c r="AK16" s="30" t="s">
        <v>52</v>
      </c>
      <c r="AL16" s="30" t="s">
        <v>287</v>
      </c>
      <c r="AM16" s="30" t="s">
        <v>287</v>
      </c>
      <c r="AN16" s="30" t="s">
        <v>287</v>
      </c>
      <c r="AO16" s="30" t="s">
        <v>287</v>
      </c>
      <c r="AP16" s="30" t="s">
        <v>287</v>
      </c>
      <c r="AQ16" s="30" t="s">
        <v>287</v>
      </c>
      <c r="AR16" s="30" t="s">
        <v>52</v>
      </c>
      <c r="AS16" s="30" t="s">
        <v>51</v>
      </c>
      <c r="AT16" s="30" t="s">
        <v>51</v>
      </c>
      <c r="AU16" s="30" t="s">
        <v>90</v>
      </c>
      <c r="AV16" s="30" t="s">
        <v>68</v>
      </c>
      <c r="AW16" s="30">
        <v>3</v>
      </c>
      <c r="AX16" s="30" t="s">
        <v>287</v>
      </c>
      <c r="AY16" s="30" t="s">
        <v>287</v>
      </c>
    </row>
    <row r="17" spans="1:51" s="30" customFormat="1" x14ac:dyDescent="0.2">
      <c r="A17" s="29">
        <v>15</v>
      </c>
      <c r="B17" s="29" t="s">
        <v>70</v>
      </c>
      <c r="C17" s="30" t="s">
        <v>71</v>
      </c>
      <c r="D17" s="30" t="s">
        <v>72</v>
      </c>
      <c r="E17" s="31">
        <v>44951</v>
      </c>
      <c r="F17" s="30" t="s">
        <v>73</v>
      </c>
      <c r="G17" s="30">
        <v>1</v>
      </c>
      <c r="H17" s="30" t="s">
        <v>51</v>
      </c>
      <c r="I17" s="30" t="s">
        <v>51</v>
      </c>
      <c r="J17" s="31">
        <v>44712</v>
      </c>
      <c r="K17" s="30" t="s">
        <v>52</v>
      </c>
      <c r="L17" s="32"/>
      <c r="M17" s="30" t="s">
        <v>51</v>
      </c>
      <c r="N17" s="32">
        <v>9</v>
      </c>
      <c r="O17" s="30" t="s">
        <v>51</v>
      </c>
      <c r="P17" s="30">
        <v>302</v>
      </c>
      <c r="Q17" s="30" t="s">
        <v>51</v>
      </c>
      <c r="R17" s="30">
        <v>5</v>
      </c>
      <c r="S17" s="30" t="s">
        <v>52</v>
      </c>
      <c r="U17" s="43" t="s">
        <v>287</v>
      </c>
      <c r="V17" s="30" t="s">
        <v>51</v>
      </c>
      <c r="W17" s="30" t="s">
        <v>53</v>
      </c>
      <c r="X17" s="30" t="s">
        <v>52</v>
      </c>
      <c r="Y17" s="30" t="s">
        <v>287</v>
      </c>
      <c r="Z17" s="30" t="s">
        <v>52</v>
      </c>
      <c r="AA17" s="30" t="s">
        <v>51</v>
      </c>
      <c r="AB17" s="46" t="s">
        <v>54</v>
      </c>
      <c r="AC17" s="30" t="s">
        <v>55</v>
      </c>
      <c r="AD17" s="30" t="s">
        <v>56</v>
      </c>
      <c r="AE17" s="30" t="s">
        <v>51</v>
      </c>
      <c r="AF17" s="30" t="s">
        <v>51</v>
      </c>
      <c r="AG17" s="30" t="s">
        <v>51</v>
      </c>
      <c r="AH17" s="30" t="s">
        <v>51</v>
      </c>
      <c r="AI17" s="30" t="s">
        <v>51</v>
      </c>
      <c r="AJ17" s="30" t="s">
        <v>51</v>
      </c>
      <c r="AK17" s="30" t="s">
        <v>51</v>
      </c>
      <c r="AL17" s="30" t="s">
        <v>51</v>
      </c>
      <c r="AM17" s="30" t="s">
        <v>51</v>
      </c>
      <c r="AN17" s="30" t="s">
        <v>51</v>
      </c>
      <c r="AO17" s="43" t="s">
        <v>287</v>
      </c>
      <c r="AP17" s="30" t="s">
        <v>57</v>
      </c>
      <c r="AQ17" s="43" t="s">
        <v>287</v>
      </c>
      <c r="AR17" s="30" t="s">
        <v>51</v>
      </c>
      <c r="AS17" s="30" t="s">
        <v>287</v>
      </c>
      <c r="AT17" s="30" t="s">
        <v>287</v>
      </c>
      <c r="AU17" s="30" t="s">
        <v>287</v>
      </c>
      <c r="AV17" s="30" t="s">
        <v>287</v>
      </c>
      <c r="AW17" s="30" t="s">
        <v>287</v>
      </c>
      <c r="AX17" s="30" t="s">
        <v>287</v>
      </c>
      <c r="AY17" s="30" t="s">
        <v>287</v>
      </c>
    </row>
    <row r="18" spans="1:51" s="30" customFormat="1" ht="14" x14ac:dyDescent="0.2">
      <c r="A18" s="29">
        <v>16</v>
      </c>
      <c r="B18" s="29" t="s">
        <v>74</v>
      </c>
      <c r="C18" s="30" t="s">
        <v>75</v>
      </c>
      <c r="D18" s="30" t="s">
        <v>76</v>
      </c>
      <c r="E18" s="31">
        <v>44882</v>
      </c>
      <c r="F18" s="30" t="s">
        <v>77</v>
      </c>
      <c r="G18" s="30">
        <v>1</v>
      </c>
      <c r="H18" s="30" t="s">
        <v>51</v>
      </c>
      <c r="I18" s="30" t="s">
        <v>51</v>
      </c>
      <c r="J18" s="31">
        <v>44567</v>
      </c>
      <c r="K18" s="30" t="s">
        <v>52</v>
      </c>
      <c r="L18" s="32"/>
      <c r="M18" s="30" t="s">
        <v>51</v>
      </c>
      <c r="N18" s="32">
        <v>16</v>
      </c>
      <c r="O18" s="30" t="s">
        <v>51</v>
      </c>
      <c r="P18" s="30">
        <v>2682</v>
      </c>
      <c r="Q18" s="30" t="s">
        <v>51</v>
      </c>
      <c r="R18" s="30">
        <v>5</v>
      </c>
      <c r="S18" s="30" t="s">
        <v>52</v>
      </c>
      <c r="U18" s="43" t="s">
        <v>287</v>
      </c>
      <c r="V18" s="30" t="s">
        <v>51</v>
      </c>
      <c r="W18" s="30" t="s">
        <v>53</v>
      </c>
      <c r="X18" s="30" t="s">
        <v>52</v>
      </c>
      <c r="Y18" s="30" t="s">
        <v>287</v>
      </c>
      <c r="Z18" s="30" t="s">
        <v>52</v>
      </c>
      <c r="AA18" s="30" t="s">
        <v>51</v>
      </c>
      <c r="AB18" s="30" t="s">
        <v>54</v>
      </c>
      <c r="AC18" s="30" t="s">
        <v>55</v>
      </c>
      <c r="AD18" s="30" t="s">
        <v>56</v>
      </c>
      <c r="AE18" s="30" t="s">
        <v>51</v>
      </c>
      <c r="AF18" s="30" t="s">
        <v>51</v>
      </c>
      <c r="AG18" s="30" t="s">
        <v>51</v>
      </c>
      <c r="AH18" s="30" t="s">
        <v>51</v>
      </c>
      <c r="AI18" s="30" t="s">
        <v>51</v>
      </c>
      <c r="AJ18" s="30" t="s">
        <v>51</v>
      </c>
      <c r="AK18" s="30" t="s">
        <v>51</v>
      </c>
      <c r="AL18" s="30" t="s">
        <v>51</v>
      </c>
      <c r="AM18" s="30" t="s">
        <v>51</v>
      </c>
      <c r="AN18" s="30" t="s">
        <v>51</v>
      </c>
      <c r="AO18" s="43" t="s">
        <v>287</v>
      </c>
      <c r="AP18" s="30" t="s">
        <v>57</v>
      </c>
      <c r="AQ18" s="43" t="s">
        <v>287</v>
      </c>
      <c r="AR18" s="30" t="s">
        <v>52</v>
      </c>
      <c r="AS18" s="30" t="s">
        <v>51</v>
      </c>
      <c r="AT18" s="30" t="s">
        <v>51</v>
      </c>
      <c r="AU18" s="30" t="s">
        <v>78</v>
      </c>
      <c r="AV18" s="43" t="s">
        <v>287</v>
      </c>
      <c r="AW18" s="43" t="s">
        <v>287</v>
      </c>
      <c r="AX18" s="30" t="s">
        <v>69</v>
      </c>
      <c r="AY18" s="30" t="s">
        <v>287</v>
      </c>
    </row>
    <row r="19" spans="1:51" s="30" customFormat="1" ht="14" x14ac:dyDescent="0.2">
      <c r="A19" s="29">
        <v>18</v>
      </c>
      <c r="B19" s="29" t="s">
        <v>79</v>
      </c>
      <c r="C19" s="30" t="s">
        <v>80</v>
      </c>
      <c r="E19" s="31">
        <v>44497</v>
      </c>
      <c r="H19" s="30" t="s">
        <v>52</v>
      </c>
      <c r="I19" s="30" t="s">
        <v>51</v>
      </c>
      <c r="J19" s="31">
        <v>44457</v>
      </c>
      <c r="K19" s="30" t="s">
        <v>52</v>
      </c>
      <c r="L19" s="32"/>
      <c r="M19" s="30" t="s">
        <v>52</v>
      </c>
      <c r="N19" s="32"/>
      <c r="O19" s="30" t="s">
        <v>52</v>
      </c>
      <c r="Q19" s="30" t="s">
        <v>52</v>
      </c>
      <c r="S19" s="30" t="s">
        <v>51</v>
      </c>
      <c r="T19" s="30" t="s">
        <v>81</v>
      </c>
      <c r="U19" s="30" t="s">
        <v>52</v>
      </c>
      <c r="V19" s="30" t="s">
        <v>52</v>
      </c>
      <c r="X19" s="30" t="s">
        <v>52</v>
      </c>
      <c r="Y19" s="30" t="s">
        <v>287</v>
      </c>
      <c r="AA19" s="30" t="s">
        <v>52</v>
      </c>
      <c r="AB19" s="30" t="s">
        <v>54</v>
      </c>
      <c r="AC19" s="30" t="s">
        <v>55</v>
      </c>
      <c r="AD19" s="30" t="s">
        <v>82</v>
      </c>
      <c r="AE19" s="30" t="s">
        <v>82</v>
      </c>
      <c r="AF19" s="30" t="s">
        <v>82</v>
      </c>
      <c r="AG19" s="30" t="s">
        <v>52</v>
      </c>
      <c r="AH19" s="30" t="s">
        <v>82</v>
      </c>
      <c r="AI19" s="30" t="s">
        <v>82</v>
      </c>
      <c r="AJ19" s="30" t="s">
        <v>82</v>
      </c>
      <c r="AK19" s="30" t="s">
        <v>52</v>
      </c>
      <c r="AL19" s="30" t="s">
        <v>287</v>
      </c>
      <c r="AM19" s="30" t="s">
        <v>287</v>
      </c>
      <c r="AN19" s="30" t="s">
        <v>287</v>
      </c>
      <c r="AO19" s="30" t="s">
        <v>287</v>
      </c>
      <c r="AP19" s="30" t="s">
        <v>287</v>
      </c>
      <c r="AQ19" s="30" t="s">
        <v>287</v>
      </c>
      <c r="AR19" s="30" t="s">
        <v>52</v>
      </c>
      <c r="AS19" s="30" t="s">
        <v>52</v>
      </c>
      <c r="AT19" s="30" t="s">
        <v>52</v>
      </c>
      <c r="AU19" s="35" t="s">
        <v>287</v>
      </c>
      <c r="AV19" s="35" t="s">
        <v>287</v>
      </c>
      <c r="AW19" s="35" t="s">
        <v>287</v>
      </c>
      <c r="AX19" s="35" t="s">
        <v>287</v>
      </c>
      <c r="AY19" s="35" t="s">
        <v>287</v>
      </c>
    </row>
    <row r="20" spans="1:51" s="30" customFormat="1" ht="14" x14ac:dyDescent="0.2">
      <c r="A20" s="29">
        <v>20</v>
      </c>
      <c r="B20" s="29" t="s">
        <v>83</v>
      </c>
      <c r="C20" s="30" t="s">
        <v>84</v>
      </c>
      <c r="D20" s="30" t="s">
        <v>85</v>
      </c>
      <c r="E20" s="31">
        <v>44496</v>
      </c>
      <c r="F20" s="30" t="s">
        <v>86</v>
      </c>
      <c r="G20" s="30">
        <v>1</v>
      </c>
      <c r="H20" s="30" t="s">
        <v>51</v>
      </c>
      <c r="I20" s="30" t="s">
        <v>51</v>
      </c>
      <c r="J20" s="31">
        <v>44423</v>
      </c>
      <c r="K20" s="30" t="s">
        <v>51</v>
      </c>
      <c r="L20" s="32">
        <v>2850</v>
      </c>
      <c r="M20" s="30" t="s">
        <v>51</v>
      </c>
      <c r="N20" s="32">
        <v>27</v>
      </c>
      <c r="O20" s="30" t="s">
        <v>51</v>
      </c>
      <c r="P20" s="30">
        <v>32</v>
      </c>
      <c r="Q20" s="30" t="s">
        <v>51</v>
      </c>
      <c r="R20" s="30">
        <v>0</v>
      </c>
      <c r="S20" s="30" t="s">
        <v>51</v>
      </c>
      <c r="T20" s="30" t="s">
        <v>87</v>
      </c>
      <c r="U20" s="30" t="s">
        <v>51</v>
      </c>
      <c r="V20" s="30" t="s">
        <v>52</v>
      </c>
      <c r="X20" s="30" t="s">
        <v>52</v>
      </c>
      <c r="Y20" s="30" t="s">
        <v>287</v>
      </c>
      <c r="AA20" s="30" t="s">
        <v>51</v>
      </c>
      <c r="AB20" s="30" t="s">
        <v>127</v>
      </c>
      <c r="AC20" s="30" t="s">
        <v>89</v>
      </c>
      <c r="AD20" s="30" t="s">
        <v>56</v>
      </c>
      <c r="AE20" s="30" t="s">
        <v>51</v>
      </c>
      <c r="AF20" s="30" t="s">
        <v>51</v>
      </c>
      <c r="AG20" s="30" t="s">
        <v>51</v>
      </c>
      <c r="AH20" s="30" t="s">
        <v>51</v>
      </c>
      <c r="AI20" s="30" t="s">
        <v>82</v>
      </c>
      <c r="AJ20" s="30" t="s">
        <v>82</v>
      </c>
      <c r="AK20" s="30" t="s">
        <v>52</v>
      </c>
      <c r="AL20" s="30" t="s">
        <v>287</v>
      </c>
      <c r="AM20" s="30" t="s">
        <v>287</v>
      </c>
      <c r="AN20" s="30" t="s">
        <v>287</v>
      </c>
      <c r="AO20" s="30" t="s">
        <v>287</v>
      </c>
      <c r="AP20" s="30" t="s">
        <v>287</v>
      </c>
      <c r="AQ20" s="30" t="s">
        <v>287</v>
      </c>
      <c r="AR20" s="30" t="s">
        <v>52</v>
      </c>
      <c r="AS20" s="30" t="s">
        <v>51</v>
      </c>
      <c r="AT20" s="30" t="s">
        <v>51</v>
      </c>
      <c r="AU20" s="30" t="s">
        <v>90</v>
      </c>
      <c r="AV20" s="30" t="s">
        <v>68</v>
      </c>
      <c r="AW20" s="30">
        <v>3</v>
      </c>
      <c r="AX20" s="30" t="s">
        <v>287</v>
      </c>
      <c r="AY20" s="30" t="s">
        <v>287</v>
      </c>
    </row>
    <row r="21" spans="1:51" s="30" customFormat="1" ht="14" x14ac:dyDescent="0.2">
      <c r="A21" s="29">
        <v>20</v>
      </c>
      <c r="B21" s="29" t="s">
        <v>118</v>
      </c>
      <c r="C21" s="30" t="s">
        <v>119</v>
      </c>
      <c r="D21" s="30" t="s">
        <v>98</v>
      </c>
      <c r="E21" s="31">
        <v>45139</v>
      </c>
      <c r="F21" s="30" t="s">
        <v>120</v>
      </c>
      <c r="G21" s="30">
        <v>10</v>
      </c>
      <c r="H21" s="30" t="s">
        <v>51</v>
      </c>
      <c r="I21" s="30" t="s">
        <v>51</v>
      </c>
      <c r="J21" s="31">
        <v>45039</v>
      </c>
      <c r="K21" s="30" t="s">
        <v>51</v>
      </c>
      <c r="L21" s="32">
        <v>5228</v>
      </c>
      <c r="M21" s="30" t="s">
        <v>51</v>
      </c>
      <c r="N21" s="32">
        <v>33</v>
      </c>
      <c r="O21" s="30" t="s">
        <v>52</v>
      </c>
      <c r="P21" s="32"/>
      <c r="Q21" s="30" t="s">
        <v>52</v>
      </c>
      <c r="R21" s="32"/>
      <c r="S21" s="30" t="s">
        <v>51</v>
      </c>
      <c r="T21" s="30" t="s">
        <v>87</v>
      </c>
      <c r="U21" s="30" t="s">
        <v>51</v>
      </c>
      <c r="V21" s="30" t="s">
        <v>52</v>
      </c>
      <c r="X21" s="30" t="s">
        <v>52</v>
      </c>
      <c r="Y21" s="30" t="s">
        <v>287</v>
      </c>
      <c r="Z21" s="30" t="s">
        <v>287</v>
      </c>
      <c r="AA21" s="30" t="s">
        <v>51</v>
      </c>
      <c r="AB21" s="30" t="s">
        <v>54</v>
      </c>
      <c r="AC21" s="30" t="s">
        <v>55</v>
      </c>
      <c r="AD21" s="30" t="s">
        <v>56</v>
      </c>
      <c r="AE21" s="30" t="s">
        <v>51</v>
      </c>
      <c r="AF21" s="30" t="s">
        <v>51</v>
      </c>
      <c r="AG21" s="30" t="s">
        <v>51</v>
      </c>
      <c r="AH21" s="30" t="s">
        <v>51</v>
      </c>
      <c r="AI21" s="30" t="s">
        <v>52</v>
      </c>
      <c r="AJ21" s="30" t="s">
        <v>52</v>
      </c>
      <c r="AK21" s="30" t="s">
        <v>51</v>
      </c>
      <c r="AL21" s="30" t="s">
        <v>51</v>
      </c>
      <c r="AM21" s="30" t="s">
        <v>52</v>
      </c>
      <c r="AN21" s="30" t="s">
        <v>287</v>
      </c>
      <c r="AO21" s="30" t="s">
        <v>94</v>
      </c>
      <c r="AP21" s="30" t="s">
        <v>52</v>
      </c>
      <c r="AQ21" s="30" t="s">
        <v>95</v>
      </c>
      <c r="AR21" s="30" t="s">
        <v>52</v>
      </c>
      <c r="AS21" s="30" t="s">
        <v>51</v>
      </c>
      <c r="AT21" s="30" t="s">
        <v>51</v>
      </c>
      <c r="AU21" s="30" t="s">
        <v>90</v>
      </c>
      <c r="AV21" s="30" t="s">
        <v>68</v>
      </c>
      <c r="AW21" s="30">
        <v>3</v>
      </c>
      <c r="AX21" s="30" t="s">
        <v>287</v>
      </c>
      <c r="AY21" s="30" t="s">
        <v>287</v>
      </c>
    </row>
    <row r="22" spans="1:51" s="30" customFormat="1" ht="14" x14ac:dyDescent="0.2">
      <c r="A22" s="29">
        <v>20</v>
      </c>
      <c r="B22" s="29" t="s">
        <v>121</v>
      </c>
      <c r="C22" s="30" t="s">
        <v>122</v>
      </c>
      <c r="D22" s="30" t="s">
        <v>98</v>
      </c>
      <c r="E22" s="31">
        <v>45189</v>
      </c>
      <c r="F22" s="30" t="s">
        <v>123</v>
      </c>
      <c r="G22" s="30">
        <v>11</v>
      </c>
      <c r="H22" s="30" t="s">
        <v>51</v>
      </c>
      <c r="I22" s="30" t="s">
        <v>51</v>
      </c>
      <c r="J22" s="31">
        <v>45108</v>
      </c>
      <c r="K22" s="30" t="s">
        <v>51</v>
      </c>
      <c r="L22" s="32">
        <v>5314</v>
      </c>
      <c r="M22" s="30" t="s">
        <v>51</v>
      </c>
      <c r="N22" s="32">
        <v>34</v>
      </c>
      <c r="O22" s="30" t="s">
        <v>51</v>
      </c>
      <c r="P22" s="32">
        <v>135</v>
      </c>
      <c r="Q22" s="30" t="s">
        <v>51</v>
      </c>
      <c r="R22" s="32">
        <v>1</v>
      </c>
      <c r="S22" s="30" t="s">
        <v>51</v>
      </c>
      <c r="T22" s="30" t="s">
        <v>87</v>
      </c>
      <c r="U22" s="30" t="s">
        <v>51</v>
      </c>
      <c r="V22" s="30" t="s">
        <v>52</v>
      </c>
      <c r="X22" s="30" t="s">
        <v>52</v>
      </c>
      <c r="Y22" s="30" t="s">
        <v>287</v>
      </c>
      <c r="Z22" s="30" t="s">
        <v>287</v>
      </c>
      <c r="AA22" s="30" t="s">
        <v>51</v>
      </c>
      <c r="AB22" s="30" t="s">
        <v>88</v>
      </c>
      <c r="AC22" s="30" t="s">
        <v>89</v>
      </c>
      <c r="AD22" s="30" t="s">
        <v>56</v>
      </c>
      <c r="AE22" s="30" t="s">
        <v>51</v>
      </c>
      <c r="AF22" s="30" t="s">
        <v>51</v>
      </c>
      <c r="AG22" s="30" t="s">
        <v>51</v>
      </c>
      <c r="AH22" s="30" t="s">
        <v>51</v>
      </c>
      <c r="AI22" s="30" t="s">
        <v>52</v>
      </c>
      <c r="AJ22" s="30" t="s">
        <v>52</v>
      </c>
      <c r="AK22" s="30" t="s">
        <v>51</v>
      </c>
      <c r="AL22" s="30" t="s">
        <v>51</v>
      </c>
      <c r="AM22" s="30" t="s">
        <v>52</v>
      </c>
      <c r="AN22" s="30" t="s">
        <v>287</v>
      </c>
      <c r="AO22" s="30" t="s">
        <v>94</v>
      </c>
      <c r="AP22" s="30" t="s">
        <v>52</v>
      </c>
      <c r="AQ22" s="30" t="s">
        <v>95</v>
      </c>
      <c r="AR22" s="30" t="s">
        <v>52</v>
      </c>
      <c r="AS22" s="30" t="s">
        <v>51</v>
      </c>
      <c r="AT22" s="30" t="s">
        <v>51</v>
      </c>
      <c r="AU22" s="30" t="s">
        <v>90</v>
      </c>
      <c r="AV22" s="30" t="s">
        <v>68</v>
      </c>
      <c r="AW22" s="30">
        <v>3</v>
      </c>
      <c r="AX22" s="30" t="s">
        <v>287</v>
      </c>
      <c r="AY22" s="30" t="s">
        <v>287</v>
      </c>
    </row>
    <row r="23" spans="1:51" s="30" customFormat="1" ht="14" x14ac:dyDescent="0.2">
      <c r="A23" s="29">
        <v>20</v>
      </c>
      <c r="B23" s="29" t="s">
        <v>124</v>
      </c>
      <c r="C23" s="30" t="s">
        <v>125</v>
      </c>
      <c r="D23" s="30" t="s">
        <v>98</v>
      </c>
      <c r="E23" s="31">
        <v>45295</v>
      </c>
      <c r="F23" s="30" t="s">
        <v>126</v>
      </c>
      <c r="G23" s="30">
        <v>12</v>
      </c>
      <c r="H23" s="30" t="s">
        <v>51</v>
      </c>
      <c r="I23" s="30" t="s">
        <v>51</v>
      </c>
      <c r="J23" s="31">
        <v>45222</v>
      </c>
      <c r="K23" s="30" t="s">
        <v>51</v>
      </c>
      <c r="L23" s="32">
        <f>5228+267</f>
        <v>5495</v>
      </c>
      <c r="M23" s="30" t="s">
        <v>51</v>
      </c>
      <c r="N23" s="32">
        <f>33+2</f>
        <v>35</v>
      </c>
      <c r="O23" s="30" t="s">
        <v>51</v>
      </c>
      <c r="P23" s="32">
        <v>267</v>
      </c>
      <c r="Q23" s="30" t="s">
        <v>51</v>
      </c>
      <c r="R23" s="32">
        <v>1</v>
      </c>
      <c r="S23" s="30" t="s">
        <v>51</v>
      </c>
      <c r="T23" s="30" t="s">
        <v>87</v>
      </c>
      <c r="U23" s="30" t="s">
        <v>51</v>
      </c>
      <c r="V23" s="30" t="s">
        <v>52</v>
      </c>
      <c r="X23" s="30" t="s">
        <v>52</v>
      </c>
      <c r="Y23" s="30" t="s">
        <v>287</v>
      </c>
      <c r="Z23" s="30" t="s">
        <v>287</v>
      </c>
      <c r="AA23" s="30" t="s">
        <v>51</v>
      </c>
      <c r="AB23" s="30" t="s">
        <v>127</v>
      </c>
      <c r="AC23" s="30" t="s">
        <v>89</v>
      </c>
      <c r="AD23" s="30" t="s">
        <v>56</v>
      </c>
      <c r="AE23" s="30" t="s">
        <v>51</v>
      </c>
      <c r="AF23" s="30" t="s">
        <v>51</v>
      </c>
      <c r="AG23" s="30" t="s">
        <v>51</v>
      </c>
      <c r="AH23" s="30" t="s">
        <v>51</v>
      </c>
      <c r="AI23" s="30" t="s">
        <v>52</v>
      </c>
      <c r="AJ23" s="30" t="s">
        <v>52</v>
      </c>
      <c r="AK23" s="30" t="s">
        <v>51</v>
      </c>
      <c r="AL23" s="30" t="s">
        <v>51</v>
      </c>
      <c r="AM23" s="30" t="s">
        <v>52</v>
      </c>
      <c r="AN23" s="30" t="s">
        <v>287</v>
      </c>
      <c r="AO23" s="30" t="s">
        <v>94</v>
      </c>
      <c r="AP23" s="30" t="s">
        <v>52</v>
      </c>
      <c r="AQ23" s="30" t="s">
        <v>95</v>
      </c>
      <c r="AR23" s="30" t="s">
        <v>52</v>
      </c>
      <c r="AS23" s="30" t="s">
        <v>52</v>
      </c>
      <c r="AT23" s="30" t="s">
        <v>52</v>
      </c>
      <c r="AU23" s="35" t="s">
        <v>287</v>
      </c>
      <c r="AV23" s="35" t="s">
        <v>287</v>
      </c>
      <c r="AW23" s="35" t="s">
        <v>287</v>
      </c>
      <c r="AX23" s="35" t="s">
        <v>287</v>
      </c>
      <c r="AY23" s="35" t="s">
        <v>287</v>
      </c>
    </row>
    <row r="24" spans="1:51" s="30" customFormat="1" ht="14" x14ac:dyDescent="0.2">
      <c r="A24" s="29">
        <v>20</v>
      </c>
      <c r="B24" s="29" t="s">
        <v>128</v>
      </c>
      <c r="C24" s="30" t="s">
        <v>129</v>
      </c>
      <c r="D24" s="30" t="s">
        <v>98</v>
      </c>
      <c r="E24" s="31">
        <v>45404</v>
      </c>
      <c r="F24" s="30" t="s">
        <v>130</v>
      </c>
      <c r="G24" s="30">
        <v>13</v>
      </c>
      <c r="H24" s="30" t="s">
        <v>51</v>
      </c>
      <c r="I24" s="30" t="s">
        <v>51</v>
      </c>
      <c r="J24" s="31">
        <v>45348</v>
      </c>
      <c r="K24" s="30" t="s">
        <v>51</v>
      </c>
      <c r="L24" s="32">
        <f>5228+515</f>
        <v>5743</v>
      </c>
      <c r="M24" s="30" t="s">
        <v>51</v>
      </c>
      <c r="N24" s="32">
        <f>33+5</f>
        <v>38</v>
      </c>
      <c r="O24" s="30" t="s">
        <v>51</v>
      </c>
      <c r="P24" s="32">
        <v>248</v>
      </c>
      <c r="Q24" s="30" t="s">
        <v>51</v>
      </c>
      <c r="R24" s="32">
        <v>3</v>
      </c>
      <c r="S24" s="30" t="s">
        <v>51</v>
      </c>
      <c r="T24" s="30" t="s">
        <v>87</v>
      </c>
      <c r="U24" s="30" t="s">
        <v>51</v>
      </c>
      <c r="V24" s="30" t="s">
        <v>52</v>
      </c>
      <c r="X24" s="30" t="s">
        <v>52</v>
      </c>
      <c r="Y24" s="30" t="s">
        <v>287</v>
      </c>
      <c r="Z24" s="30" t="s">
        <v>287</v>
      </c>
      <c r="AA24" s="30" t="s">
        <v>51</v>
      </c>
      <c r="AB24" s="30" t="s">
        <v>127</v>
      </c>
      <c r="AC24" s="30" t="s">
        <v>89</v>
      </c>
      <c r="AD24" s="30" t="s">
        <v>56</v>
      </c>
      <c r="AE24" s="30" t="s">
        <v>51</v>
      </c>
      <c r="AF24" s="30" t="s">
        <v>51</v>
      </c>
      <c r="AG24" s="30" t="s">
        <v>51</v>
      </c>
      <c r="AH24" s="30" t="s">
        <v>51</v>
      </c>
      <c r="AI24" s="30" t="s">
        <v>52</v>
      </c>
      <c r="AJ24" s="30" t="s">
        <v>52</v>
      </c>
      <c r="AK24" s="30" t="s">
        <v>51</v>
      </c>
      <c r="AL24" s="30" t="s">
        <v>51</v>
      </c>
      <c r="AM24" s="30" t="s">
        <v>52</v>
      </c>
      <c r="AN24" s="30" t="s">
        <v>287</v>
      </c>
      <c r="AO24" s="30" t="s">
        <v>94</v>
      </c>
      <c r="AP24" s="30" t="s">
        <v>52</v>
      </c>
      <c r="AQ24" s="30" t="s">
        <v>95</v>
      </c>
      <c r="AR24" s="30" t="s">
        <v>52</v>
      </c>
      <c r="AS24" s="30" t="s">
        <v>52</v>
      </c>
      <c r="AT24" s="30" t="s">
        <v>52</v>
      </c>
      <c r="AU24" s="35" t="s">
        <v>287</v>
      </c>
      <c r="AV24" s="35" t="s">
        <v>287</v>
      </c>
      <c r="AW24" s="35" t="s">
        <v>287</v>
      </c>
      <c r="AX24" s="35" t="s">
        <v>287</v>
      </c>
      <c r="AY24" s="35" t="s">
        <v>287</v>
      </c>
    </row>
    <row r="25" spans="1:51" s="30" customFormat="1" ht="14" x14ac:dyDescent="0.2">
      <c r="A25" s="29">
        <v>20</v>
      </c>
      <c r="B25" s="29" t="s">
        <v>131</v>
      </c>
      <c r="C25" s="30" t="s">
        <v>132</v>
      </c>
      <c r="D25" s="30" t="s">
        <v>98</v>
      </c>
      <c r="E25" s="31">
        <v>45413</v>
      </c>
      <c r="F25" s="30" t="s">
        <v>133</v>
      </c>
      <c r="G25" s="30">
        <v>14</v>
      </c>
      <c r="H25" s="30" t="s">
        <v>51</v>
      </c>
      <c r="I25" s="30" t="s">
        <v>51</v>
      </c>
      <c r="J25" s="31">
        <v>45410</v>
      </c>
      <c r="K25" s="30" t="s">
        <v>51</v>
      </c>
      <c r="L25" s="32">
        <f>5228+605</f>
        <v>5833</v>
      </c>
      <c r="M25" s="30" t="s">
        <v>51</v>
      </c>
      <c r="N25" s="32">
        <v>39</v>
      </c>
      <c r="O25" s="30" t="s">
        <v>51</v>
      </c>
      <c r="P25" s="32">
        <f>5833-5743</f>
        <v>90</v>
      </c>
      <c r="Q25" s="30" t="s">
        <v>51</v>
      </c>
      <c r="R25" s="32">
        <v>1</v>
      </c>
      <c r="S25" s="30" t="s">
        <v>51</v>
      </c>
      <c r="T25" s="30" t="s">
        <v>87</v>
      </c>
      <c r="U25" s="30" t="s">
        <v>51</v>
      </c>
      <c r="V25" s="30" t="s">
        <v>52</v>
      </c>
      <c r="X25" s="30" t="s">
        <v>52</v>
      </c>
      <c r="Y25" s="30" t="s">
        <v>287</v>
      </c>
      <c r="Z25" s="30" t="s">
        <v>287</v>
      </c>
      <c r="AA25" s="30" t="s">
        <v>51</v>
      </c>
      <c r="AB25" s="30" t="s">
        <v>127</v>
      </c>
      <c r="AC25" s="30" t="s">
        <v>89</v>
      </c>
      <c r="AD25" s="30" t="s">
        <v>56</v>
      </c>
      <c r="AE25" s="30" t="s">
        <v>51</v>
      </c>
      <c r="AF25" s="30" t="s">
        <v>51</v>
      </c>
      <c r="AG25" s="30" t="s">
        <v>51</v>
      </c>
      <c r="AH25" s="30" t="s">
        <v>51</v>
      </c>
      <c r="AI25" s="30" t="s">
        <v>52</v>
      </c>
      <c r="AJ25" s="30" t="s">
        <v>52</v>
      </c>
      <c r="AK25" s="30" t="s">
        <v>51</v>
      </c>
      <c r="AL25" s="30" t="s">
        <v>51</v>
      </c>
      <c r="AM25" s="30" t="s">
        <v>52</v>
      </c>
      <c r="AN25" s="30" t="s">
        <v>287</v>
      </c>
      <c r="AO25" s="30" t="s">
        <v>94</v>
      </c>
      <c r="AP25" s="30" t="s">
        <v>52</v>
      </c>
      <c r="AQ25" s="30" t="s">
        <v>95</v>
      </c>
      <c r="AR25" s="30" t="s">
        <v>52</v>
      </c>
      <c r="AS25" s="30" t="s">
        <v>52</v>
      </c>
      <c r="AT25" s="30" t="s">
        <v>52</v>
      </c>
      <c r="AU25" s="35" t="s">
        <v>287</v>
      </c>
      <c r="AV25" s="35" t="s">
        <v>287</v>
      </c>
      <c r="AW25" s="35" t="s">
        <v>287</v>
      </c>
      <c r="AX25" s="35" t="s">
        <v>287</v>
      </c>
      <c r="AY25" s="35" t="s">
        <v>287</v>
      </c>
    </row>
    <row r="26" spans="1:51" s="30" customFormat="1" ht="14" x14ac:dyDescent="0.2">
      <c r="A26" s="29">
        <v>20</v>
      </c>
      <c r="B26" s="29" t="s">
        <v>134</v>
      </c>
      <c r="C26" s="30" t="s">
        <v>135</v>
      </c>
      <c r="D26" s="30" t="s">
        <v>98</v>
      </c>
      <c r="E26" s="31">
        <v>45546</v>
      </c>
      <c r="F26" s="30" t="s">
        <v>136</v>
      </c>
      <c r="G26" s="30">
        <v>15</v>
      </c>
      <c r="H26" s="30" t="s">
        <v>51</v>
      </c>
      <c r="I26" s="30" t="s">
        <v>51</v>
      </c>
      <c r="J26" s="31">
        <v>45473</v>
      </c>
      <c r="K26" s="30" t="s">
        <v>51</v>
      </c>
      <c r="L26" s="32">
        <v>5894</v>
      </c>
      <c r="M26" s="30" t="s">
        <v>51</v>
      </c>
      <c r="N26" s="32">
        <v>38</v>
      </c>
      <c r="O26" s="30" t="s">
        <v>51</v>
      </c>
      <c r="P26" s="32">
        <f>5894-5833</f>
        <v>61</v>
      </c>
      <c r="Q26" s="30" t="s">
        <v>51</v>
      </c>
      <c r="R26" s="32">
        <v>0</v>
      </c>
      <c r="S26" s="30" t="s">
        <v>51</v>
      </c>
      <c r="T26" s="30" t="s">
        <v>87</v>
      </c>
      <c r="U26" s="30" t="s">
        <v>51</v>
      </c>
      <c r="V26" s="30" t="s">
        <v>52</v>
      </c>
      <c r="X26" s="30" t="s">
        <v>52</v>
      </c>
      <c r="Y26" s="30" t="s">
        <v>287</v>
      </c>
      <c r="Z26" s="30" t="s">
        <v>287</v>
      </c>
      <c r="AA26" s="30" t="s">
        <v>51</v>
      </c>
      <c r="AB26" s="30" t="s">
        <v>54</v>
      </c>
      <c r="AC26" s="30" t="s">
        <v>55</v>
      </c>
      <c r="AD26" s="30" t="s">
        <v>56</v>
      </c>
      <c r="AE26" s="30" t="s">
        <v>51</v>
      </c>
      <c r="AF26" s="30" t="s">
        <v>51</v>
      </c>
      <c r="AG26" s="30" t="s">
        <v>51</v>
      </c>
      <c r="AH26" s="30" t="s">
        <v>51</v>
      </c>
      <c r="AI26" s="30" t="s">
        <v>52</v>
      </c>
      <c r="AJ26" s="30" t="s">
        <v>52</v>
      </c>
      <c r="AK26" s="30" t="s">
        <v>51</v>
      </c>
      <c r="AL26" s="30" t="s">
        <v>51</v>
      </c>
      <c r="AM26" s="30" t="s">
        <v>52</v>
      </c>
      <c r="AN26" s="30" t="s">
        <v>287</v>
      </c>
      <c r="AO26" s="30" t="s">
        <v>94</v>
      </c>
      <c r="AP26" s="30" t="s">
        <v>52</v>
      </c>
      <c r="AQ26" s="30" t="s">
        <v>95</v>
      </c>
      <c r="AR26" s="30" t="s">
        <v>52</v>
      </c>
      <c r="AS26" s="30" t="s">
        <v>51</v>
      </c>
      <c r="AT26" s="30" t="s">
        <v>51</v>
      </c>
      <c r="AU26" s="30" t="s">
        <v>90</v>
      </c>
      <c r="AV26" s="30" t="s">
        <v>68</v>
      </c>
      <c r="AW26" s="30">
        <v>3</v>
      </c>
      <c r="AX26" s="30" t="s">
        <v>287</v>
      </c>
      <c r="AY26" s="30" t="s">
        <v>287</v>
      </c>
    </row>
    <row r="27" spans="1:51" s="30" customFormat="1" ht="14" x14ac:dyDescent="0.2">
      <c r="A27" s="29">
        <v>20</v>
      </c>
      <c r="B27" s="29" t="s">
        <v>91</v>
      </c>
      <c r="C27" s="30" t="s">
        <v>92</v>
      </c>
      <c r="D27" s="30" t="s">
        <v>85</v>
      </c>
      <c r="E27" s="31">
        <v>44589</v>
      </c>
      <c r="F27" s="30" t="s">
        <v>93</v>
      </c>
      <c r="G27" s="30">
        <v>2</v>
      </c>
      <c r="H27" s="30" t="s">
        <v>51</v>
      </c>
      <c r="I27" s="30" t="s">
        <v>51</v>
      </c>
      <c r="J27" s="31">
        <v>44498</v>
      </c>
      <c r="K27" s="30" t="s">
        <v>51</v>
      </c>
      <c r="L27" s="32">
        <v>2984</v>
      </c>
      <c r="M27" s="30" t="s">
        <v>51</v>
      </c>
      <c r="N27" s="32">
        <v>28</v>
      </c>
      <c r="O27" s="30" t="s">
        <v>51</v>
      </c>
      <c r="P27" s="32">
        <v>2984</v>
      </c>
      <c r="Q27" s="30" t="s">
        <v>51</v>
      </c>
      <c r="R27" s="32">
        <v>28</v>
      </c>
      <c r="S27" s="30" t="s">
        <v>51</v>
      </c>
      <c r="T27" s="30" t="s">
        <v>87</v>
      </c>
      <c r="U27" s="30" t="s">
        <v>51</v>
      </c>
      <c r="V27" s="30" t="s">
        <v>52</v>
      </c>
      <c r="X27" s="30" t="s">
        <v>52</v>
      </c>
      <c r="Y27" s="30" t="s">
        <v>287</v>
      </c>
      <c r="Z27" s="30" t="s">
        <v>287</v>
      </c>
      <c r="AA27" s="30" t="s">
        <v>51</v>
      </c>
      <c r="AB27" s="30" t="s">
        <v>88</v>
      </c>
      <c r="AC27" s="30" t="s">
        <v>89</v>
      </c>
      <c r="AD27" s="30" t="s">
        <v>56</v>
      </c>
      <c r="AE27" s="30" t="s">
        <v>51</v>
      </c>
      <c r="AF27" s="30" t="s">
        <v>51</v>
      </c>
      <c r="AG27" s="30" t="s">
        <v>51</v>
      </c>
      <c r="AH27" s="30" t="s">
        <v>51</v>
      </c>
      <c r="AI27" s="30" t="s">
        <v>52</v>
      </c>
      <c r="AJ27" s="30" t="s">
        <v>52</v>
      </c>
      <c r="AK27" s="30" t="s">
        <v>51</v>
      </c>
      <c r="AL27" s="30" t="s">
        <v>51</v>
      </c>
      <c r="AM27" s="30" t="s">
        <v>52</v>
      </c>
      <c r="AN27" s="30" t="s">
        <v>287</v>
      </c>
      <c r="AO27" s="30" t="s">
        <v>94</v>
      </c>
      <c r="AP27" s="30" t="s">
        <v>52</v>
      </c>
      <c r="AQ27" s="30" t="s">
        <v>95</v>
      </c>
      <c r="AR27" s="30" t="s">
        <v>52</v>
      </c>
      <c r="AS27" s="30" t="s">
        <v>51</v>
      </c>
      <c r="AT27" s="30" t="s">
        <v>51</v>
      </c>
      <c r="AU27" s="30" t="s">
        <v>90</v>
      </c>
      <c r="AV27" s="30" t="s">
        <v>68</v>
      </c>
      <c r="AW27" s="30">
        <v>3</v>
      </c>
      <c r="AX27" s="30" t="s">
        <v>287</v>
      </c>
      <c r="AY27" s="30" t="s">
        <v>287</v>
      </c>
    </row>
    <row r="28" spans="1:51" s="30" customFormat="1" ht="14" x14ac:dyDescent="0.2">
      <c r="A28" s="29">
        <v>20</v>
      </c>
      <c r="B28" s="29" t="s">
        <v>96</v>
      </c>
      <c r="C28" s="30" t="s">
        <v>97</v>
      </c>
      <c r="D28" s="30" t="s">
        <v>98</v>
      </c>
      <c r="E28" s="31">
        <v>44651</v>
      </c>
      <c r="F28" s="30" t="s">
        <v>99</v>
      </c>
      <c r="G28" s="30">
        <v>3</v>
      </c>
      <c r="H28" s="30" t="s">
        <v>51</v>
      </c>
      <c r="I28" s="30" t="s">
        <v>51</v>
      </c>
      <c r="J28" s="31">
        <v>44582</v>
      </c>
      <c r="K28" s="30" t="s">
        <v>51</v>
      </c>
      <c r="L28" s="32">
        <v>3154</v>
      </c>
      <c r="M28" s="30" t="s">
        <v>51</v>
      </c>
      <c r="N28" s="32">
        <v>28</v>
      </c>
      <c r="O28" s="30" t="s">
        <v>51</v>
      </c>
      <c r="P28" s="32">
        <v>170</v>
      </c>
      <c r="Q28" s="30" t="s">
        <v>51</v>
      </c>
      <c r="R28" s="32">
        <v>0</v>
      </c>
      <c r="S28" s="30" t="s">
        <v>51</v>
      </c>
      <c r="T28" s="30" t="s">
        <v>87</v>
      </c>
      <c r="U28" s="30" t="s">
        <v>51</v>
      </c>
      <c r="V28" s="30" t="s">
        <v>52</v>
      </c>
      <c r="X28" s="30" t="s">
        <v>52</v>
      </c>
      <c r="Y28" s="30" t="s">
        <v>287</v>
      </c>
      <c r="AA28" s="30" t="s">
        <v>51</v>
      </c>
      <c r="AB28" s="30" t="s">
        <v>88</v>
      </c>
      <c r="AC28" s="30" t="s">
        <v>89</v>
      </c>
      <c r="AD28" s="30" t="s">
        <v>56</v>
      </c>
      <c r="AE28" s="30" t="s">
        <v>51</v>
      </c>
      <c r="AF28" s="30" t="s">
        <v>51</v>
      </c>
      <c r="AG28" s="30" t="s">
        <v>51</v>
      </c>
      <c r="AH28" s="30" t="s">
        <v>51</v>
      </c>
      <c r="AI28" s="30" t="s">
        <v>82</v>
      </c>
      <c r="AJ28" s="30" t="s">
        <v>82</v>
      </c>
      <c r="AK28" s="30" t="s">
        <v>52</v>
      </c>
      <c r="AL28" s="30" t="s">
        <v>287</v>
      </c>
      <c r="AM28" s="30" t="s">
        <v>287</v>
      </c>
      <c r="AN28" s="30" t="s">
        <v>287</v>
      </c>
      <c r="AO28" s="30" t="s">
        <v>287</v>
      </c>
      <c r="AP28" s="30" t="s">
        <v>287</v>
      </c>
      <c r="AQ28" s="30" t="s">
        <v>287</v>
      </c>
      <c r="AR28" s="30" t="s">
        <v>52</v>
      </c>
      <c r="AS28" s="30" t="s">
        <v>51</v>
      </c>
      <c r="AT28" s="30" t="s">
        <v>51</v>
      </c>
      <c r="AU28" s="30" t="s">
        <v>90</v>
      </c>
      <c r="AV28" s="30" t="s">
        <v>68</v>
      </c>
      <c r="AW28" s="30">
        <v>3</v>
      </c>
      <c r="AX28" s="30" t="s">
        <v>287</v>
      </c>
      <c r="AY28" s="30" t="s">
        <v>287</v>
      </c>
    </row>
    <row r="29" spans="1:51" s="30" customFormat="1" ht="14" x14ac:dyDescent="0.2">
      <c r="A29" s="29">
        <v>20</v>
      </c>
      <c r="B29" s="29" t="s">
        <v>100</v>
      </c>
      <c r="C29" s="30" t="s">
        <v>101</v>
      </c>
      <c r="D29" s="30" t="s">
        <v>98</v>
      </c>
      <c r="E29" s="31">
        <v>44804</v>
      </c>
      <c r="F29" s="30" t="s">
        <v>102</v>
      </c>
      <c r="G29" s="30">
        <v>4</v>
      </c>
      <c r="H29" s="30" t="s">
        <v>51</v>
      </c>
      <c r="I29" s="30" t="s">
        <v>51</v>
      </c>
      <c r="J29" s="31">
        <v>44651</v>
      </c>
      <c r="K29" s="30" t="s">
        <v>51</v>
      </c>
      <c r="L29" s="32">
        <v>3278</v>
      </c>
      <c r="M29" s="30" t="s">
        <v>51</v>
      </c>
      <c r="N29" s="32">
        <v>29</v>
      </c>
      <c r="O29" s="30" t="s">
        <v>51</v>
      </c>
      <c r="P29" s="32">
        <v>124</v>
      </c>
      <c r="Q29" s="30" t="s">
        <v>51</v>
      </c>
      <c r="R29" s="32">
        <v>1</v>
      </c>
      <c r="S29" s="30" t="s">
        <v>51</v>
      </c>
      <c r="T29" s="30" t="s">
        <v>87</v>
      </c>
      <c r="U29" s="30" t="s">
        <v>51</v>
      </c>
      <c r="V29" s="30" t="s">
        <v>52</v>
      </c>
      <c r="X29" s="30" t="s">
        <v>52</v>
      </c>
      <c r="Y29" s="30" t="s">
        <v>287</v>
      </c>
      <c r="Z29" s="30" t="s">
        <v>287</v>
      </c>
      <c r="AA29" s="30" t="s">
        <v>51</v>
      </c>
      <c r="AB29" s="30" t="s">
        <v>88</v>
      </c>
      <c r="AC29" s="30" t="s">
        <v>89</v>
      </c>
      <c r="AD29" s="30" t="s">
        <v>56</v>
      </c>
      <c r="AE29" s="30" t="s">
        <v>51</v>
      </c>
      <c r="AF29" s="30" t="s">
        <v>51</v>
      </c>
      <c r="AG29" s="30" t="s">
        <v>51</v>
      </c>
      <c r="AH29" s="30" t="s">
        <v>51</v>
      </c>
      <c r="AI29" s="30" t="s">
        <v>52</v>
      </c>
      <c r="AJ29" s="30" t="s">
        <v>52</v>
      </c>
      <c r="AK29" s="30" t="s">
        <v>51</v>
      </c>
      <c r="AL29" s="30" t="s">
        <v>51</v>
      </c>
      <c r="AM29" s="30" t="s">
        <v>52</v>
      </c>
      <c r="AN29" s="30" t="s">
        <v>287</v>
      </c>
      <c r="AO29" s="30" t="s">
        <v>94</v>
      </c>
      <c r="AP29" s="30" t="s">
        <v>52</v>
      </c>
      <c r="AQ29" s="30" t="s">
        <v>95</v>
      </c>
      <c r="AR29" s="30" t="s">
        <v>52</v>
      </c>
      <c r="AS29" s="30" t="s">
        <v>51</v>
      </c>
      <c r="AT29" s="30" t="s">
        <v>51</v>
      </c>
      <c r="AU29" s="30" t="s">
        <v>90</v>
      </c>
      <c r="AV29" s="30" t="s">
        <v>68</v>
      </c>
      <c r="AW29" s="30">
        <v>3</v>
      </c>
      <c r="AX29" s="30" t="s">
        <v>287</v>
      </c>
      <c r="AY29" s="30" t="s">
        <v>287</v>
      </c>
    </row>
    <row r="30" spans="1:51" s="30" customFormat="1" ht="14" x14ac:dyDescent="0.2">
      <c r="A30" s="29">
        <v>20</v>
      </c>
      <c r="B30" s="29" t="s">
        <v>103</v>
      </c>
      <c r="C30" s="30" t="s">
        <v>104</v>
      </c>
      <c r="D30" s="30" t="s">
        <v>98</v>
      </c>
      <c r="E30" s="31">
        <v>44805</v>
      </c>
      <c r="F30" s="30" t="s">
        <v>105</v>
      </c>
      <c r="G30" s="30">
        <v>5</v>
      </c>
      <c r="H30" s="30" t="s">
        <v>51</v>
      </c>
      <c r="I30" s="30" t="s">
        <v>51</v>
      </c>
      <c r="J30" s="31">
        <v>44655</v>
      </c>
      <c r="K30" s="30" t="s">
        <v>51</v>
      </c>
      <c r="L30" s="32">
        <v>3283</v>
      </c>
      <c r="M30" s="30" t="s">
        <v>51</v>
      </c>
      <c r="N30" s="32">
        <v>29</v>
      </c>
      <c r="O30" s="30" t="s">
        <v>52</v>
      </c>
      <c r="P30" s="32"/>
      <c r="Q30" s="30" t="s">
        <v>51</v>
      </c>
      <c r="R30" s="32">
        <v>0</v>
      </c>
      <c r="S30" s="30" t="s">
        <v>51</v>
      </c>
      <c r="T30" s="30" t="s">
        <v>87</v>
      </c>
      <c r="U30" s="30" t="s">
        <v>51</v>
      </c>
      <c r="V30" s="30" t="s">
        <v>52</v>
      </c>
      <c r="X30" s="30" t="s">
        <v>52</v>
      </c>
      <c r="Y30" s="30" t="s">
        <v>287</v>
      </c>
      <c r="AA30" s="30" t="s">
        <v>51</v>
      </c>
      <c r="AB30" s="30" t="s">
        <v>54</v>
      </c>
      <c r="AC30" s="30" t="s">
        <v>55</v>
      </c>
      <c r="AD30" s="30" t="s">
        <v>56</v>
      </c>
      <c r="AE30" s="30" t="s">
        <v>51</v>
      </c>
      <c r="AF30" s="30" t="s">
        <v>51</v>
      </c>
      <c r="AG30" s="30" t="s">
        <v>51</v>
      </c>
      <c r="AH30" s="30" t="s">
        <v>51</v>
      </c>
      <c r="AI30" s="30" t="s">
        <v>82</v>
      </c>
      <c r="AJ30" s="30" t="s">
        <v>82</v>
      </c>
      <c r="AK30" s="30" t="s">
        <v>52</v>
      </c>
      <c r="AL30" s="30" t="s">
        <v>287</v>
      </c>
      <c r="AM30" s="30" t="s">
        <v>287</v>
      </c>
      <c r="AN30" s="30" t="s">
        <v>287</v>
      </c>
      <c r="AO30" s="30" t="s">
        <v>287</v>
      </c>
      <c r="AP30" s="30" t="s">
        <v>287</v>
      </c>
      <c r="AQ30" s="30" t="s">
        <v>287</v>
      </c>
      <c r="AR30" s="30" t="s">
        <v>52</v>
      </c>
      <c r="AS30" s="30" t="s">
        <v>51</v>
      </c>
      <c r="AT30" s="30" t="s">
        <v>51</v>
      </c>
      <c r="AU30" s="30" t="s">
        <v>90</v>
      </c>
      <c r="AV30" s="30" t="s">
        <v>68</v>
      </c>
      <c r="AW30" s="30">
        <v>3</v>
      </c>
      <c r="AX30" s="30" t="s">
        <v>287</v>
      </c>
      <c r="AY30" s="30" t="s">
        <v>287</v>
      </c>
    </row>
    <row r="31" spans="1:51" s="30" customFormat="1" ht="14" x14ac:dyDescent="0.2">
      <c r="A31" s="29">
        <v>20</v>
      </c>
      <c r="B31" s="29" t="s">
        <v>106</v>
      </c>
      <c r="C31" s="30" t="s">
        <v>107</v>
      </c>
      <c r="D31" s="30" t="s">
        <v>98</v>
      </c>
      <c r="E31" s="31">
        <v>44834</v>
      </c>
      <c r="F31" s="30" t="s">
        <v>108</v>
      </c>
      <c r="G31" s="30">
        <v>6</v>
      </c>
      <c r="H31" s="30" t="s">
        <v>51</v>
      </c>
      <c r="I31" s="30" t="s">
        <v>51</v>
      </c>
      <c r="J31" s="31">
        <v>44750</v>
      </c>
      <c r="K31" s="30" t="s">
        <v>51</v>
      </c>
      <c r="L31" s="32">
        <v>3419</v>
      </c>
      <c r="M31" s="30" t="s">
        <v>51</v>
      </c>
      <c r="N31" s="32">
        <v>30</v>
      </c>
      <c r="O31" s="30" t="s">
        <v>52</v>
      </c>
      <c r="Q31" s="30" t="s">
        <v>51</v>
      </c>
      <c r="R31" s="30">
        <v>1</v>
      </c>
      <c r="S31" s="30" t="s">
        <v>51</v>
      </c>
      <c r="T31" s="30" t="s">
        <v>87</v>
      </c>
      <c r="U31" s="30" t="s">
        <v>51</v>
      </c>
      <c r="V31" s="30" t="s">
        <v>52</v>
      </c>
      <c r="X31" s="30" t="s">
        <v>52</v>
      </c>
      <c r="Y31" s="30" t="s">
        <v>287</v>
      </c>
      <c r="Z31" s="30" t="s">
        <v>287</v>
      </c>
      <c r="AA31" s="30" t="s">
        <v>51</v>
      </c>
      <c r="AB31" s="30" t="s">
        <v>88</v>
      </c>
      <c r="AC31" s="30" t="s">
        <v>89</v>
      </c>
      <c r="AD31" s="30" t="s">
        <v>56</v>
      </c>
      <c r="AE31" s="30" t="s">
        <v>51</v>
      </c>
      <c r="AF31" s="30" t="s">
        <v>51</v>
      </c>
      <c r="AG31" s="30" t="s">
        <v>51</v>
      </c>
      <c r="AH31" s="30" t="s">
        <v>51</v>
      </c>
      <c r="AI31" s="30" t="s">
        <v>52</v>
      </c>
      <c r="AJ31" s="30" t="s">
        <v>52</v>
      </c>
      <c r="AK31" s="30" t="s">
        <v>51</v>
      </c>
      <c r="AL31" s="30" t="s">
        <v>51</v>
      </c>
      <c r="AM31" s="30" t="s">
        <v>52</v>
      </c>
      <c r="AN31" s="30" t="s">
        <v>287</v>
      </c>
      <c r="AO31" s="30" t="s">
        <v>94</v>
      </c>
      <c r="AP31" s="30" t="s">
        <v>52</v>
      </c>
      <c r="AQ31" s="30" t="s">
        <v>95</v>
      </c>
      <c r="AR31" s="30" t="s">
        <v>52</v>
      </c>
      <c r="AS31" s="30" t="s">
        <v>51</v>
      </c>
      <c r="AT31" s="30" t="s">
        <v>51</v>
      </c>
      <c r="AU31" s="30" t="s">
        <v>90</v>
      </c>
      <c r="AV31" s="30" t="s">
        <v>68</v>
      </c>
      <c r="AW31" s="30">
        <v>3</v>
      </c>
      <c r="AX31" s="30" t="s">
        <v>287</v>
      </c>
      <c r="AY31" s="30" t="s">
        <v>287</v>
      </c>
    </row>
    <row r="32" spans="1:51" s="30" customFormat="1" ht="14" x14ac:dyDescent="0.2">
      <c r="A32" s="29">
        <v>20</v>
      </c>
      <c r="B32" s="29" t="s">
        <v>109</v>
      </c>
      <c r="C32" s="30" t="s">
        <v>110</v>
      </c>
      <c r="D32" s="30" t="s">
        <v>98</v>
      </c>
      <c r="E32" s="31">
        <v>44927</v>
      </c>
      <c r="F32" s="30" t="s">
        <v>111</v>
      </c>
      <c r="G32" s="30">
        <v>7</v>
      </c>
      <c r="H32" s="30" t="s">
        <v>51</v>
      </c>
      <c r="I32" s="30" t="s">
        <v>51</v>
      </c>
      <c r="J32" s="31">
        <v>44849</v>
      </c>
      <c r="K32" s="30" t="s">
        <v>51</v>
      </c>
      <c r="L32" s="32">
        <v>3568</v>
      </c>
      <c r="M32" s="30" t="s">
        <v>51</v>
      </c>
      <c r="N32" s="32">
        <v>30</v>
      </c>
      <c r="O32" s="30" t="s">
        <v>52</v>
      </c>
      <c r="P32" s="32"/>
      <c r="Q32" s="30" t="s">
        <v>51</v>
      </c>
      <c r="R32" s="32">
        <v>0</v>
      </c>
      <c r="S32" s="30" t="s">
        <v>51</v>
      </c>
      <c r="T32" s="30" t="s">
        <v>87</v>
      </c>
      <c r="U32" s="30" t="s">
        <v>51</v>
      </c>
      <c r="V32" s="30" t="s">
        <v>52</v>
      </c>
      <c r="X32" s="30" t="s">
        <v>52</v>
      </c>
      <c r="Y32" s="30" t="s">
        <v>287</v>
      </c>
      <c r="AA32" s="30" t="s">
        <v>51</v>
      </c>
      <c r="AB32" s="30" t="s">
        <v>88</v>
      </c>
      <c r="AC32" s="30" t="s">
        <v>89</v>
      </c>
      <c r="AD32" s="30" t="s">
        <v>56</v>
      </c>
      <c r="AE32" s="30" t="s">
        <v>51</v>
      </c>
      <c r="AF32" s="30" t="s">
        <v>51</v>
      </c>
      <c r="AG32" s="30" t="s">
        <v>51</v>
      </c>
      <c r="AH32" s="30" t="s">
        <v>51</v>
      </c>
      <c r="AI32" s="30" t="s">
        <v>82</v>
      </c>
      <c r="AJ32" s="30" t="s">
        <v>82</v>
      </c>
      <c r="AK32" s="30" t="s">
        <v>52</v>
      </c>
      <c r="AL32" s="30" t="s">
        <v>287</v>
      </c>
      <c r="AM32" s="30" t="s">
        <v>287</v>
      </c>
      <c r="AN32" s="30" t="s">
        <v>287</v>
      </c>
      <c r="AO32" s="30" t="s">
        <v>287</v>
      </c>
      <c r="AP32" s="30" t="s">
        <v>287</v>
      </c>
      <c r="AQ32" s="30" t="s">
        <v>287</v>
      </c>
      <c r="AR32" s="30" t="s">
        <v>52</v>
      </c>
      <c r="AS32" s="30" t="s">
        <v>51</v>
      </c>
      <c r="AT32" s="30" t="s">
        <v>51</v>
      </c>
      <c r="AU32" s="30" t="s">
        <v>90</v>
      </c>
      <c r="AV32" s="30" t="s">
        <v>68</v>
      </c>
      <c r="AW32" s="30">
        <v>3</v>
      </c>
      <c r="AX32" s="30" t="s">
        <v>287</v>
      </c>
      <c r="AY32" s="30" t="s">
        <v>287</v>
      </c>
    </row>
    <row r="33" spans="1:51" s="30" customFormat="1" ht="14" x14ac:dyDescent="0.2">
      <c r="A33" s="29">
        <v>20</v>
      </c>
      <c r="B33" s="29" t="s">
        <v>112</v>
      </c>
      <c r="C33" s="30" t="s">
        <v>113</v>
      </c>
      <c r="D33" s="30" t="s">
        <v>98</v>
      </c>
      <c r="E33" s="31">
        <v>45017</v>
      </c>
      <c r="F33" s="30" t="s">
        <v>114</v>
      </c>
      <c r="G33" s="30">
        <v>8</v>
      </c>
      <c r="H33" s="30" t="s">
        <v>51</v>
      </c>
      <c r="I33" s="30" t="s">
        <v>51</v>
      </c>
      <c r="J33" s="31">
        <v>44956</v>
      </c>
      <c r="K33" s="30" t="s">
        <v>51</v>
      </c>
      <c r="L33" s="32">
        <v>5085</v>
      </c>
      <c r="M33" s="30" t="s">
        <v>51</v>
      </c>
      <c r="N33" s="32">
        <v>31</v>
      </c>
      <c r="O33" s="30" t="s">
        <v>52</v>
      </c>
      <c r="P33" s="32"/>
      <c r="Q33" s="30" t="s">
        <v>51</v>
      </c>
      <c r="R33" s="32">
        <v>1</v>
      </c>
      <c r="S33" s="30" t="s">
        <v>51</v>
      </c>
      <c r="T33" s="30" t="s">
        <v>87</v>
      </c>
      <c r="U33" s="30" t="s">
        <v>51</v>
      </c>
      <c r="V33" s="30" t="s">
        <v>52</v>
      </c>
      <c r="X33" s="30" t="s">
        <v>52</v>
      </c>
      <c r="Y33" s="30" t="s">
        <v>287</v>
      </c>
      <c r="Z33" s="30" t="s">
        <v>287</v>
      </c>
      <c r="AA33" s="30" t="s">
        <v>51</v>
      </c>
      <c r="AB33" s="30" t="s">
        <v>88</v>
      </c>
      <c r="AC33" s="30" t="s">
        <v>89</v>
      </c>
      <c r="AD33" s="30" t="s">
        <v>56</v>
      </c>
      <c r="AE33" s="30" t="s">
        <v>51</v>
      </c>
      <c r="AF33" s="30" t="s">
        <v>51</v>
      </c>
      <c r="AG33" s="30" t="s">
        <v>51</v>
      </c>
      <c r="AH33" s="30" t="s">
        <v>51</v>
      </c>
      <c r="AI33" s="30" t="s">
        <v>52</v>
      </c>
      <c r="AJ33" s="30" t="s">
        <v>52</v>
      </c>
      <c r="AK33" s="30" t="s">
        <v>51</v>
      </c>
      <c r="AL33" s="30" t="s">
        <v>51</v>
      </c>
      <c r="AM33" s="30" t="s">
        <v>52</v>
      </c>
      <c r="AN33" s="30" t="s">
        <v>287</v>
      </c>
      <c r="AO33" s="30" t="s">
        <v>94</v>
      </c>
      <c r="AP33" s="30" t="s">
        <v>52</v>
      </c>
      <c r="AQ33" s="30" t="s">
        <v>95</v>
      </c>
      <c r="AR33" s="30" t="s">
        <v>52</v>
      </c>
      <c r="AS33" s="30" t="s">
        <v>51</v>
      </c>
      <c r="AT33" s="30" t="s">
        <v>51</v>
      </c>
      <c r="AU33" s="30" t="s">
        <v>90</v>
      </c>
      <c r="AV33" s="30" t="s">
        <v>68</v>
      </c>
      <c r="AW33" s="30">
        <v>3</v>
      </c>
      <c r="AX33" s="30" t="s">
        <v>287</v>
      </c>
      <c r="AY33" s="30" t="s">
        <v>287</v>
      </c>
    </row>
    <row r="34" spans="1:51" s="30" customFormat="1" ht="14" x14ac:dyDescent="0.2">
      <c r="A34" s="29">
        <v>20</v>
      </c>
      <c r="B34" s="29" t="s">
        <v>115</v>
      </c>
      <c r="C34" s="30" t="s">
        <v>116</v>
      </c>
      <c r="D34" s="30" t="s">
        <v>98</v>
      </c>
      <c r="E34" s="31">
        <v>45108</v>
      </c>
      <c r="F34" s="30" t="s">
        <v>117</v>
      </c>
      <c r="G34" s="30">
        <v>9</v>
      </c>
      <c r="H34" s="30" t="s">
        <v>51</v>
      </c>
      <c r="I34" s="30" t="s">
        <v>51</v>
      </c>
      <c r="J34" s="31">
        <v>45031</v>
      </c>
      <c r="K34" s="30" t="s">
        <v>51</v>
      </c>
      <c r="L34" s="32">
        <v>5179</v>
      </c>
      <c r="M34" s="30" t="s">
        <v>51</v>
      </c>
      <c r="N34" s="32">
        <v>33</v>
      </c>
      <c r="O34" s="30" t="s">
        <v>52</v>
      </c>
      <c r="P34" s="32"/>
      <c r="Q34" s="30" t="s">
        <v>51</v>
      </c>
      <c r="R34" s="32">
        <v>2</v>
      </c>
      <c r="S34" s="30" t="s">
        <v>51</v>
      </c>
      <c r="T34" s="30" t="s">
        <v>87</v>
      </c>
      <c r="U34" s="30" t="s">
        <v>51</v>
      </c>
      <c r="V34" s="30" t="s">
        <v>52</v>
      </c>
      <c r="X34" s="30" t="s">
        <v>52</v>
      </c>
      <c r="Y34" s="30" t="s">
        <v>287</v>
      </c>
      <c r="Z34" s="30" t="s">
        <v>287</v>
      </c>
      <c r="AA34" s="30" t="s">
        <v>51</v>
      </c>
      <c r="AB34" s="30" t="s">
        <v>88</v>
      </c>
      <c r="AC34" s="30" t="s">
        <v>89</v>
      </c>
      <c r="AD34" s="30" t="s">
        <v>56</v>
      </c>
      <c r="AE34" s="30" t="s">
        <v>51</v>
      </c>
      <c r="AF34" s="30" t="s">
        <v>51</v>
      </c>
      <c r="AG34" s="30" t="s">
        <v>51</v>
      </c>
      <c r="AH34" s="30" t="s">
        <v>51</v>
      </c>
      <c r="AI34" s="30" t="s">
        <v>52</v>
      </c>
      <c r="AJ34" s="30" t="s">
        <v>52</v>
      </c>
      <c r="AK34" s="30" t="s">
        <v>51</v>
      </c>
      <c r="AL34" s="30" t="s">
        <v>51</v>
      </c>
      <c r="AM34" s="30" t="s">
        <v>52</v>
      </c>
      <c r="AN34" s="30" t="s">
        <v>287</v>
      </c>
      <c r="AO34" s="30" t="s">
        <v>94</v>
      </c>
      <c r="AP34" s="30" t="s">
        <v>52</v>
      </c>
      <c r="AQ34" s="30" t="s">
        <v>95</v>
      </c>
      <c r="AR34" s="30" t="s">
        <v>52</v>
      </c>
      <c r="AS34" s="30" t="s">
        <v>51</v>
      </c>
      <c r="AT34" s="30" t="s">
        <v>51</v>
      </c>
      <c r="AU34" s="30" t="s">
        <v>90</v>
      </c>
      <c r="AV34" s="30" t="s">
        <v>68</v>
      </c>
      <c r="AW34" s="30">
        <v>3</v>
      </c>
      <c r="AX34" s="30" t="s">
        <v>287</v>
      </c>
      <c r="AY34" s="30" t="s">
        <v>287</v>
      </c>
    </row>
    <row r="35" spans="1:51" s="30" customFormat="1" ht="14" x14ac:dyDescent="0.2">
      <c r="A35" s="29">
        <v>23</v>
      </c>
      <c r="B35" s="29" t="s">
        <v>157</v>
      </c>
      <c r="C35" s="30" t="s">
        <v>154</v>
      </c>
      <c r="D35" s="30" t="s">
        <v>156</v>
      </c>
      <c r="E35" s="31">
        <v>45785</v>
      </c>
      <c r="H35" s="30" t="s">
        <v>52</v>
      </c>
      <c r="I35" s="30" t="s">
        <v>51</v>
      </c>
      <c r="J35" s="31">
        <v>45784</v>
      </c>
      <c r="K35" s="30" t="s">
        <v>51</v>
      </c>
      <c r="L35" s="32">
        <v>38006</v>
      </c>
      <c r="M35" s="30" t="s">
        <v>51</v>
      </c>
      <c r="N35" s="32">
        <v>416</v>
      </c>
      <c r="O35" s="30" t="s">
        <v>52</v>
      </c>
      <c r="Q35" s="30" t="s">
        <v>52</v>
      </c>
      <c r="S35" s="30" t="s">
        <v>51</v>
      </c>
      <c r="T35" s="30" t="s">
        <v>155</v>
      </c>
      <c r="U35" s="30" t="s">
        <v>52</v>
      </c>
      <c r="V35" s="30" t="s">
        <v>52</v>
      </c>
      <c r="X35" s="30" t="s">
        <v>52</v>
      </c>
      <c r="Z35" s="30" t="s">
        <v>287</v>
      </c>
      <c r="AA35" s="30" t="s">
        <v>52</v>
      </c>
      <c r="AB35" s="30" t="s">
        <v>88</v>
      </c>
      <c r="AC35" s="30" t="s">
        <v>89</v>
      </c>
      <c r="AD35" s="30" t="s">
        <v>56</v>
      </c>
      <c r="AE35" s="30" t="s">
        <v>82</v>
      </c>
      <c r="AF35" s="30" t="s">
        <v>51</v>
      </c>
      <c r="AG35" s="30" t="s">
        <v>51</v>
      </c>
      <c r="AH35" s="30" t="s">
        <v>82</v>
      </c>
      <c r="AI35" s="30" t="s">
        <v>82</v>
      </c>
      <c r="AJ35" s="30" t="s">
        <v>82</v>
      </c>
      <c r="AK35" s="30" t="s">
        <v>51</v>
      </c>
      <c r="AL35" s="30" t="s">
        <v>82</v>
      </c>
      <c r="AM35" s="30" t="s">
        <v>82</v>
      </c>
      <c r="AN35" s="30" t="s">
        <v>287</v>
      </c>
      <c r="AO35" s="30" t="s">
        <v>287</v>
      </c>
      <c r="AP35" s="30" t="s">
        <v>57</v>
      </c>
      <c r="AQ35" s="30" t="s">
        <v>287</v>
      </c>
      <c r="AR35" s="30" t="s">
        <v>52</v>
      </c>
      <c r="AS35" s="30" t="s">
        <v>52</v>
      </c>
      <c r="AT35" s="30" t="s">
        <v>51</v>
      </c>
      <c r="AU35" s="30" t="s">
        <v>90</v>
      </c>
      <c r="AV35" s="30" t="s">
        <v>82</v>
      </c>
      <c r="AW35" s="30" t="s">
        <v>287</v>
      </c>
      <c r="AX35" s="30" t="s">
        <v>287</v>
      </c>
      <c r="AY35" s="30" t="s">
        <v>287</v>
      </c>
    </row>
    <row r="36" spans="1:51" s="30" customFormat="1" ht="13.5" customHeight="1" x14ac:dyDescent="0.2">
      <c r="A36" s="29">
        <v>24</v>
      </c>
      <c r="B36" s="29" t="s">
        <v>161</v>
      </c>
      <c r="C36" s="30" t="s">
        <v>158</v>
      </c>
      <c r="D36" s="30" t="s">
        <v>287</v>
      </c>
      <c r="E36" s="31">
        <v>45166</v>
      </c>
      <c r="H36" s="30" t="s">
        <v>52</v>
      </c>
      <c r="I36" s="30" t="s">
        <v>52</v>
      </c>
      <c r="J36" s="30" t="s">
        <v>287</v>
      </c>
      <c r="K36" s="30" t="s">
        <v>51</v>
      </c>
      <c r="L36" s="32">
        <f>4983+727</f>
        <v>5710</v>
      </c>
      <c r="M36" s="30" t="s">
        <v>51</v>
      </c>
      <c r="N36" s="32">
        <v>16</v>
      </c>
      <c r="O36" s="30" t="s">
        <v>52</v>
      </c>
      <c r="Q36" s="30" t="s">
        <v>52</v>
      </c>
      <c r="S36" s="30" t="s">
        <v>51</v>
      </c>
      <c r="T36" s="30" t="s">
        <v>159</v>
      </c>
      <c r="U36" s="30" t="s">
        <v>52</v>
      </c>
      <c r="V36" s="30" t="s">
        <v>52</v>
      </c>
      <c r="W36" s="30" t="s">
        <v>287</v>
      </c>
      <c r="X36" s="30" t="s">
        <v>52</v>
      </c>
      <c r="Y36" s="30" t="s">
        <v>287</v>
      </c>
      <c r="AA36" s="30" t="s">
        <v>52</v>
      </c>
      <c r="AB36" s="30" t="s">
        <v>88</v>
      </c>
      <c r="AC36" s="30" t="s">
        <v>89</v>
      </c>
      <c r="AD36" s="30" t="s">
        <v>56</v>
      </c>
      <c r="AE36" s="30" t="s">
        <v>82</v>
      </c>
      <c r="AF36" s="30" t="s">
        <v>51</v>
      </c>
      <c r="AG36" s="30" t="s">
        <v>52</v>
      </c>
      <c r="AH36" s="30" t="s">
        <v>82</v>
      </c>
      <c r="AI36" s="30" t="s">
        <v>82</v>
      </c>
      <c r="AJ36" s="30" t="s">
        <v>82</v>
      </c>
      <c r="AK36" s="30" t="s">
        <v>52</v>
      </c>
      <c r="AL36" s="30" t="s">
        <v>287</v>
      </c>
      <c r="AM36" s="30" t="s">
        <v>287</v>
      </c>
      <c r="AN36" s="30" t="s">
        <v>287</v>
      </c>
      <c r="AO36" s="30" t="s">
        <v>287</v>
      </c>
      <c r="AP36" s="30" t="s">
        <v>287</v>
      </c>
      <c r="AQ36" s="30" t="s">
        <v>287</v>
      </c>
      <c r="AR36" s="30" t="s">
        <v>52</v>
      </c>
      <c r="AS36" s="30" t="s">
        <v>51</v>
      </c>
      <c r="AT36" s="30" t="s">
        <v>51</v>
      </c>
      <c r="AU36" s="30" t="s">
        <v>90</v>
      </c>
      <c r="AV36" s="30" t="s">
        <v>160</v>
      </c>
      <c r="AW36" s="30" t="s">
        <v>287</v>
      </c>
      <c r="AX36" s="30" t="s">
        <v>287</v>
      </c>
      <c r="AY36" s="30" t="s">
        <v>287</v>
      </c>
    </row>
    <row r="37" spans="1:51" s="30" customFormat="1" ht="14" x14ac:dyDescent="0.2">
      <c r="A37" s="29">
        <v>26</v>
      </c>
      <c r="B37" s="29" t="s">
        <v>163</v>
      </c>
      <c r="C37" s="47" t="s">
        <v>162</v>
      </c>
      <c r="D37" s="30" t="s">
        <v>287</v>
      </c>
      <c r="E37" s="31" t="s">
        <v>287</v>
      </c>
      <c r="H37" s="30" t="s">
        <v>52</v>
      </c>
      <c r="I37" s="30" t="s">
        <v>52</v>
      </c>
      <c r="J37" s="31">
        <v>45137</v>
      </c>
      <c r="K37" s="30" t="s">
        <v>52</v>
      </c>
      <c r="L37" s="32"/>
      <c r="M37" s="30" t="s">
        <v>51</v>
      </c>
      <c r="N37" s="32">
        <v>220</v>
      </c>
      <c r="O37" s="30" t="s">
        <v>52</v>
      </c>
      <c r="Q37" s="30" t="s">
        <v>52</v>
      </c>
      <c r="S37" s="30" t="s">
        <v>51</v>
      </c>
      <c r="T37" s="30" t="s">
        <v>164</v>
      </c>
      <c r="U37" s="30" t="s">
        <v>52</v>
      </c>
      <c r="V37" s="30" t="s">
        <v>52</v>
      </c>
      <c r="X37" s="30" t="s">
        <v>52</v>
      </c>
      <c r="Y37" s="30" t="s">
        <v>287</v>
      </c>
      <c r="Z37" s="30" t="s">
        <v>287</v>
      </c>
      <c r="AA37" s="30" t="s">
        <v>52</v>
      </c>
      <c r="AB37" s="30" t="s">
        <v>88</v>
      </c>
      <c r="AC37" s="30" t="s">
        <v>89</v>
      </c>
      <c r="AD37" s="30" t="s">
        <v>141</v>
      </c>
      <c r="AE37" s="30" t="s">
        <v>51</v>
      </c>
      <c r="AF37" s="30" t="s">
        <v>82</v>
      </c>
      <c r="AG37" s="30" t="s">
        <v>52</v>
      </c>
      <c r="AH37" s="30" t="s">
        <v>82</v>
      </c>
      <c r="AI37" s="30" t="s">
        <v>82</v>
      </c>
      <c r="AJ37" s="30" t="s">
        <v>82</v>
      </c>
      <c r="AK37" s="30" t="s">
        <v>51</v>
      </c>
      <c r="AL37" s="30" t="s">
        <v>82</v>
      </c>
      <c r="AM37" s="30" t="s">
        <v>51</v>
      </c>
      <c r="AN37" s="30" t="s">
        <v>51</v>
      </c>
      <c r="AO37" s="43" t="s">
        <v>287</v>
      </c>
      <c r="AP37" s="30" t="s">
        <v>57</v>
      </c>
      <c r="AQ37" s="30" t="s">
        <v>287</v>
      </c>
      <c r="AR37" s="30" t="s">
        <v>51</v>
      </c>
      <c r="AS37" s="30" t="s">
        <v>287</v>
      </c>
      <c r="AT37" s="30" t="s">
        <v>287</v>
      </c>
      <c r="AU37" s="30" t="s">
        <v>287</v>
      </c>
      <c r="AV37" s="30" t="s">
        <v>287</v>
      </c>
      <c r="AW37" s="30" t="s">
        <v>287</v>
      </c>
      <c r="AX37" s="30" t="s">
        <v>287</v>
      </c>
      <c r="AY37" s="30" t="s">
        <v>287</v>
      </c>
    </row>
    <row r="38" spans="1:51" s="30" customFormat="1" ht="14" x14ac:dyDescent="0.2">
      <c r="A38" s="29">
        <v>28</v>
      </c>
      <c r="B38" s="29" t="s">
        <v>165</v>
      </c>
      <c r="C38" s="30" t="s">
        <v>166</v>
      </c>
      <c r="D38" s="30" t="s">
        <v>167</v>
      </c>
      <c r="E38" s="31">
        <v>45082</v>
      </c>
      <c r="F38" s="30" t="s">
        <v>174</v>
      </c>
      <c r="H38" s="30" t="s">
        <v>52</v>
      </c>
      <c r="I38" s="30" t="s">
        <v>51</v>
      </c>
      <c r="J38" s="31">
        <v>44896</v>
      </c>
      <c r="K38" s="30" t="s">
        <v>52</v>
      </c>
      <c r="L38" s="32"/>
      <c r="M38" s="30" t="s">
        <v>51</v>
      </c>
      <c r="N38" s="32">
        <v>14</v>
      </c>
      <c r="O38" s="30" t="s">
        <v>52</v>
      </c>
      <c r="Q38" s="30" t="s">
        <v>51</v>
      </c>
      <c r="R38" s="30">
        <v>5</v>
      </c>
      <c r="S38" s="30" t="s">
        <v>52</v>
      </c>
      <c r="T38" s="30" t="s">
        <v>287</v>
      </c>
      <c r="U38" s="43" t="s">
        <v>287</v>
      </c>
      <c r="V38" s="30" t="s">
        <v>51</v>
      </c>
      <c r="W38" s="30" t="s">
        <v>168</v>
      </c>
      <c r="X38" s="30" t="s">
        <v>52</v>
      </c>
      <c r="Y38" s="30" t="s">
        <v>287</v>
      </c>
      <c r="Z38" s="30" t="s">
        <v>52</v>
      </c>
      <c r="AA38" s="30" t="s">
        <v>51</v>
      </c>
      <c r="AB38" s="30" t="s">
        <v>88</v>
      </c>
      <c r="AC38" s="30" t="s">
        <v>89</v>
      </c>
      <c r="AD38" s="30" t="s">
        <v>141</v>
      </c>
      <c r="AE38" s="30" t="s">
        <v>82</v>
      </c>
      <c r="AF38" s="30" t="s">
        <v>82</v>
      </c>
      <c r="AG38" s="30" t="s">
        <v>52</v>
      </c>
      <c r="AH38" s="30" t="s">
        <v>82</v>
      </c>
      <c r="AI38" s="30" t="s">
        <v>82</v>
      </c>
      <c r="AJ38" s="30" t="s">
        <v>82</v>
      </c>
      <c r="AK38" s="30" t="s">
        <v>52</v>
      </c>
      <c r="AL38" s="30" t="s">
        <v>287</v>
      </c>
      <c r="AM38" s="30" t="s">
        <v>287</v>
      </c>
      <c r="AN38" s="30" t="s">
        <v>287</v>
      </c>
      <c r="AO38" s="30" t="s">
        <v>287</v>
      </c>
      <c r="AP38" s="30" t="s">
        <v>287</v>
      </c>
      <c r="AQ38" s="30" t="s">
        <v>287</v>
      </c>
      <c r="AR38" s="30" t="s">
        <v>52</v>
      </c>
      <c r="AS38" s="30" t="s">
        <v>52</v>
      </c>
      <c r="AT38" s="30" t="s">
        <v>52</v>
      </c>
      <c r="AU38" s="35" t="s">
        <v>287</v>
      </c>
      <c r="AV38" s="35" t="s">
        <v>287</v>
      </c>
      <c r="AW38" s="35" t="s">
        <v>287</v>
      </c>
      <c r="AX38" s="35" t="s">
        <v>287</v>
      </c>
      <c r="AY38" s="35" t="s">
        <v>287</v>
      </c>
    </row>
    <row r="39" spans="1:51" s="30" customFormat="1" ht="14" x14ac:dyDescent="0.2">
      <c r="A39" s="29">
        <v>34</v>
      </c>
      <c r="B39" s="29" t="s">
        <v>169</v>
      </c>
      <c r="C39" s="47" t="s">
        <v>170</v>
      </c>
      <c r="D39" s="30" t="s">
        <v>171</v>
      </c>
      <c r="E39" s="31">
        <v>45419</v>
      </c>
      <c r="F39" s="30" t="s">
        <v>173</v>
      </c>
      <c r="G39" s="30">
        <v>1</v>
      </c>
      <c r="H39" s="30" t="s">
        <v>51</v>
      </c>
      <c r="I39" s="30" t="s">
        <v>51</v>
      </c>
      <c r="J39" s="31">
        <v>45197</v>
      </c>
      <c r="K39" s="30" t="s">
        <v>52</v>
      </c>
      <c r="L39" s="32"/>
      <c r="M39" s="30" t="s">
        <v>52</v>
      </c>
      <c r="N39" s="32"/>
      <c r="O39" s="30" t="s">
        <v>51</v>
      </c>
      <c r="P39" s="30">
        <v>390</v>
      </c>
      <c r="Q39" s="30" t="s">
        <v>51</v>
      </c>
      <c r="R39" s="30">
        <v>4</v>
      </c>
      <c r="S39" s="30" t="s">
        <v>52</v>
      </c>
      <c r="U39" s="43" t="s">
        <v>287</v>
      </c>
      <c r="V39" s="30" t="s">
        <v>51</v>
      </c>
      <c r="W39" s="30" t="s">
        <v>175</v>
      </c>
      <c r="X39" s="30" t="s">
        <v>52</v>
      </c>
      <c r="Y39" s="30" t="s">
        <v>287</v>
      </c>
      <c r="Z39" s="30" t="s">
        <v>52</v>
      </c>
      <c r="AA39" s="30" t="s">
        <v>51</v>
      </c>
      <c r="AB39" s="30" t="s">
        <v>88</v>
      </c>
      <c r="AC39" s="30" t="s">
        <v>89</v>
      </c>
      <c r="AD39" s="30" t="s">
        <v>56</v>
      </c>
      <c r="AE39" s="30" t="s">
        <v>51</v>
      </c>
      <c r="AF39" s="30" t="s">
        <v>82</v>
      </c>
      <c r="AG39" s="30" t="s">
        <v>52</v>
      </c>
      <c r="AH39" s="30" t="s">
        <v>82</v>
      </c>
      <c r="AI39" s="30" t="s">
        <v>82</v>
      </c>
      <c r="AJ39" s="30" t="s">
        <v>82</v>
      </c>
      <c r="AK39" s="30" t="s">
        <v>52</v>
      </c>
      <c r="AL39" s="30" t="s">
        <v>287</v>
      </c>
      <c r="AM39" s="30" t="s">
        <v>287</v>
      </c>
      <c r="AN39" s="30" t="s">
        <v>287</v>
      </c>
      <c r="AO39" s="30" t="s">
        <v>287</v>
      </c>
      <c r="AP39" s="30" t="s">
        <v>287</v>
      </c>
      <c r="AQ39" s="30" t="s">
        <v>287</v>
      </c>
      <c r="AR39" s="30" t="s">
        <v>52</v>
      </c>
      <c r="AS39" s="30" t="s">
        <v>52</v>
      </c>
      <c r="AT39" s="30" t="s">
        <v>52</v>
      </c>
      <c r="AU39" s="35" t="s">
        <v>287</v>
      </c>
      <c r="AV39" s="35" t="s">
        <v>287</v>
      </c>
      <c r="AW39" s="35" t="s">
        <v>287</v>
      </c>
      <c r="AX39" s="35" t="s">
        <v>287</v>
      </c>
      <c r="AY39" s="35" t="s">
        <v>287</v>
      </c>
    </row>
    <row r="40" spans="1:51" s="30" customFormat="1" ht="14" x14ac:dyDescent="0.2">
      <c r="A40" s="29">
        <v>34</v>
      </c>
      <c r="B40" s="29" t="s">
        <v>172</v>
      </c>
      <c r="C40" s="30" t="s">
        <v>176</v>
      </c>
      <c r="D40" s="30" t="s">
        <v>171</v>
      </c>
      <c r="E40" s="31">
        <v>45692</v>
      </c>
      <c r="F40" s="30" t="s">
        <v>177</v>
      </c>
      <c r="G40" s="30">
        <v>2</v>
      </c>
      <c r="H40" s="30" t="s">
        <v>51</v>
      </c>
      <c r="I40" s="30" t="s">
        <v>51</v>
      </c>
      <c r="J40" s="31">
        <v>45498</v>
      </c>
      <c r="K40" s="30" t="s">
        <v>52</v>
      </c>
      <c r="L40" s="32"/>
      <c r="M40" s="30" t="s">
        <v>52</v>
      </c>
      <c r="N40" s="32"/>
      <c r="O40" s="30" t="s">
        <v>51</v>
      </c>
      <c r="P40" s="30">
        <v>162</v>
      </c>
      <c r="Q40" s="30" t="s">
        <v>51</v>
      </c>
      <c r="R40" s="30">
        <v>0</v>
      </c>
      <c r="S40" s="30" t="s">
        <v>52</v>
      </c>
      <c r="U40" s="43" t="s">
        <v>287</v>
      </c>
      <c r="V40" s="30" t="s">
        <v>51</v>
      </c>
      <c r="W40" s="30" t="s">
        <v>175</v>
      </c>
      <c r="X40" s="30" t="s">
        <v>52</v>
      </c>
      <c r="Y40" s="30" t="s">
        <v>287</v>
      </c>
      <c r="Z40" s="30" t="s">
        <v>52</v>
      </c>
      <c r="AA40" s="30" t="s">
        <v>51</v>
      </c>
      <c r="AB40" s="30" t="s">
        <v>127</v>
      </c>
      <c r="AC40" s="30" t="s">
        <v>89</v>
      </c>
      <c r="AD40" s="30" t="s">
        <v>141</v>
      </c>
      <c r="AE40" s="30" t="s">
        <v>82</v>
      </c>
      <c r="AF40" s="30" t="s">
        <v>82</v>
      </c>
      <c r="AG40" s="30" t="s">
        <v>52</v>
      </c>
      <c r="AH40" s="30" t="s">
        <v>82</v>
      </c>
      <c r="AI40" s="30" t="s">
        <v>82</v>
      </c>
      <c r="AJ40" s="30" t="s">
        <v>82</v>
      </c>
      <c r="AK40" s="30" t="s">
        <v>52</v>
      </c>
      <c r="AL40" s="30" t="s">
        <v>287</v>
      </c>
      <c r="AM40" s="30" t="s">
        <v>287</v>
      </c>
      <c r="AN40" s="30" t="s">
        <v>287</v>
      </c>
      <c r="AO40" s="30" t="s">
        <v>287</v>
      </c>
      <c r="AP40" s="30" t="s">
        <v>287</v>
      </c>
      <c r="AQ40" s="30" t="s">
        <v>287</v>
      </c>
      <c r="AR40" s="30" t="s">
        <v>52</v>
      </c>
      <c r="AS40" s="30" t="s">
        <v>51</v>
      </c>
      <c r="AT40" s="30" t="s">
        <v>52</v>
      </c>
      <c r="AU40" s="35" t="s">
        <v>287</v>
      </c>
      <c r="AV40" s="35" t="s">
        <v>287</v>
      </c>
      <c r="AW40" s="35" t="s">
        <v>287</v>
      </c>
      <c r="AX40" s="35" t="s">
        <v>287</v>
      </c>
      <c r="AY40" s="35" t="s">
        <v>287</v>
      </c>
    </row>
    <row r="41" spans="1:51" s="30" customFormat="1" ht="13.5" customHeight="1" x14ac:dyDescent="0.2">
      <c r="A41" s="29">
        <v>35</v>
      </c>
      <c r="B41" s="29" t="s">
        <v>178</v>
      </c>
      <c r="C41" s="30" t="s">
        <v>179</v>
      </c>
      <c r="D41" s="30" t="s">
        <v>180</v>
      </c>
      <c r="E41" s="31">
        <v>45701</v>
      </c>
      <c r="F41" s="30" t="s">
        <v>181</v>
      </c>
      <c r="G41" s="30">
        <v>1</v>
      </c>
      <c r="H41" s="30" t="s">
        <v>51</v>
      </c>
      <c r="I41" s="30" t="s">
        <v>51</v>
      </c>
      <c r="J41" s="31">
        <v>45341</v>
      </c>
      <c r="K41" s="30" t="s">
        <v>52</v>
      </c>
      <c r="L41" s="32"/>
      <c r="M41" s="30" t="s">
        <v>51</v>
      </c>
      <c r="N41" s="32">
        <v>104</v>
      </c>
      <c r="O41" s="30" t="s">
        <v>51</v>
      </c>
      <c r="P41" s="30">
        <f>1062</f>
        <v>1062</v>
      </c>
      <c r="Q41" s="30" t="s">
        <v>51</v>
      </c>
      <c r="R41" s="30">
        <v>40</v>
      </c>
      <c r="S41" s="30" t="s">
        <v>52</v>
      </c>
      <c r="T41" s="30" t="s">
        <v>287</v>
      </c>
      <c r="U41" s="43" t="s">
        <v>287</v>
      </c>
      <c r="V41" s="30" t="s">
        <v>51</v>
      </c>
      <c r="W41" s="30" t="s">
        <v>53</v>
      </c>
      <c r="X41" s="30" t="s">
        <v>52</v>
      </c>
      <c r="Y41" s="30" t="s">
        <v>287</v>
      </c>
      <c r="Z41" s="30" t="s">
        <v>52</v>
      </c>
      <c r="AA41" s="30" t="s">
        <v>51</v>
      </c>
      <c r="AB41" s="30" t="s">
        <v>54</v>
      </c>
      <c r="AC41" s="30" t="s">
        <v>55</v>
      </c>
      <c r="AD41" s="30" t="s">
        <v>56</v>
      </c>
      <c r="AE41" s="30" t="s">
        <v>51</v>
      </c>
      <c r="AF41" s="30" t="s">
        <v>51</v>
      </c>
      <c r="AG41" s="30" t="s">
        <v>51</v>
      </c>
      <c r="AH41" s="30" t="s">
        <v>51</v>
      </c>
      <c r="AI41" s="30" t="s">
        <v>52</v>
      </c>
      <c r="AJ41" s="30" t="s">
        <v>51</v>
      </c>
      <c r="AK41" s="30" t="s">
        <v>51</v>
      </c>
      <c r="AL41" s="30" t="s">
        <v>51</v>
      </c>
      <c r="AM41" s="30" t="s">
        <v>51</v>
      </c>
      <c r="AN41" s="30" t="s">
        <v>51</v>
      </c>
      <c r="AO41" s="43" t="s">
        <v>287</v>
      </c>
      <c r="AP41" s="30" t="s">
        <v>57</v>
      </c>
      <c r="AQ41" s="30" t="s">
        <v>287</v>
      </c>
      <c r="AR41" s="30" t="s">
        <v>52</v>
      </c>
      <c r="AS41" s="30" t="s">
        <v>52</v>
      </c>
      <c r="AT41" s="30" t="s">
        <v>51</v>
      </c>
      <c r="AU41" s="30" t="s">
        <v>78</v>
      </c>
      <c r="AV41" s="43" t="s">
        <v>287</v>
      </c>
      <c r="AW41" s="43" t="s">
        <v>287</v>
      </c>
      <c r="AX41" s="30" t="s">
        <v>69</v>
      </c>
      <c r="AY41" s="30" t="s">
        <v>287</v>
      </c>
    </row>
    <row r="42" spans="1:51" s="30" customFormat="1" ht="14" x14ac:dyDescent="0.2">
      <c r="A42" s="29">
        <v>37</v>
      </c>
      <c r="B42" s="29" t="s">
        <v>182</v>
      </c>
      <c r="C42" s="30" t="s">
        <v>187</v>
      </c>
      <c r="D42" s="30" t="s">
        <v>188</v>
      </c>
      <c r="E42" s="31">
        <v>45077</v>
      </c>
      <c r="F42" s="30" t="s">
        <v>189</v>
      </c>
      <c r="H42" s="30" t="s">
        <v>52</v>
      </c>
      <c r="I42" s="30" t="s">
        <v>52</v>
      </c>
      <c r="J42" s="31">
        <v>44970</v>
      </c>
      <c r="K42" s="30" t="s">
        <v>52</v>
      </c>
      <c r="L42" s="32"/>
      <c r="M42" s="30" t="s">
        <v>51</v>
      </c>
      <c r="N42" s="32">
        <v>10</v>
      </c>
      <c r="O42" s="30" t="s">
        <v>52</v>
      </c>
      <c r="Q42" s="30" t="s">
        <v>52</v>
      </c>
      <c r="S42" s="30" t="s">
        <v>52</v>
      </c>
      <c r="T42" s="30" t="s">
        <v>287</v>
      </c>
      <c r="U42" s="30" t="s">
        <v>287</v>
      </c>
      <c r="V42" s="30" t="s">
        <v>52</v>
      </c>
      <c r="W42" s="30" t="s">
        <v>287</v>
      </c>
      <c r="X42" s="30" t="s">
        <v>51</v>
      </c>
      <c r="Y42" s="30" t="s">
        <v>191</v>
      </c>
      <c r="Z42" s="30" t="s">
        <v>51</v>
      </c>
      <c r="AA42" s="30" t="s">
        <v>51</v>
      </c>
      <c r="AB42" s="30" t="s">
        <v>88</v>
      </c>
      <c r="AC42" s="30" t="s">
        <v>89</v>
      </c>
      <c r="AD42" s="30" t="s">
        <v>141</v>
      </c>
      <c r="AE42" s="30" t="s">
        <v>82</v>
      </c>
      <c r="AF42" s="30" t="s">
        <v>82</v>
      </c>
      <c r="AG42" s="30" t="s">
        <v>52</v>
      </c>
      <c r="AH42" s="30" t="s">
        <v>82</v>
      </c>
      <c r="AI42" s="30" t="s">
        <v>82</v>
      </c>
      <c r="AJ42" s="30" t="s">
        <v>82</v>
      </c>
      <c r="AK42" s="30" t="s">
        <v>52</v>
      </c>
      <c r="AL42" s="30" t="s">
        <v>287</v>
      </c>
      <c r="AM42" s="30" t="s">
        <v>287</v>
      </c>
      <c r="AN42" s="30" t="s">
        <v>287</v>
      </c>
      <c r="AO42" s="30" t="s">
        <v>287</v>
      </c>
      <c r="AP42" s="30" t="s">
        <v>287</v>
      </c>
      <c r="AQ42" s="30" t="s">
        <v>287</v>
      </c>
      <c r="AR42" s="30" t="s">
        <v>52</v>
      </c>
      <c r="AS42" s="30" t="s">
        <v>52</v>
      </c>
      <c r="AT42" s="30" t="s">
        <v>52</v>
      </c>
      <c r="AU42" s="35" t="s">
        <v>287</v>
      </c>
      <c r="AV42" s="35" t="s">
        <v>287</v>
      </c>
      <c r="AW42" s="35" t="s">
        <v>287</v>
      </c>
      <c r="AX42" s="35" t="s">
        <v>287</v>
      </c>
      <c r="AY42" s="35" t="s">
        <v>287</v>
      </c>
    </row>
    <row r="43" spans="1:51" s="30" customFormat="1" ht="14" x14ac:dyDescent="0.2">
      <c r="A43" s="29">
        <v>37</v>
      </c>
      <c r="B43" s="29" t="s">
        <v>200</v>
      </c>
      <c r="C43" s="30" t="s">
        <v>193</v>
      </c>
      <c r="E43" s="31" t="s">
        <v>287</v>
      </c>
      <c r="H43" s="30" t="s">
        <v>52</v>
      </c>
      <c r="I43" s="30" t="s">
        <v>52</v>
      </c>
      <c r="J43" s="31">
        <v>45231</v>
      </c>
      <c r="K43" s="30" t="s">
        <v>52</v>
      </c>
      <c r="L43" s="32"/>
      <c r="M43" s="30" t="s">
        <v>52</v>
      </c>
      <c r="N43" s="32"/>
      <c r="O43" s="30" t="s">
        <v>51</v>
      </c>
      <c r="P43" s="30">
        <v>150</v>
      </c>
      <c r="Q43" s="30" t="s">
        <v>51</v>
      </c>
      <c r="R43" s="30">
        <v>0</v>
      </c>
      <c r="S43" s="30" t="s">
        <v>51</v>
      </c>
      <c r="T43" s="30" t="s">
        <v>185</v>
      </c>
      <c r="U43" s="30" t="s">
        <v>52</v>
      </c>
      <c r="V43" s="30" t="s">
        <v>52</v>
      </c>
      <c r="W43" s="30" t="s">
        <v>287</v>
      </c>
      <c r="X43" s="30" t="s">
        <v>52</v>
      </c>
      <c r="Y43" s="30" t="s">
        <v>287</v>
      </c>
      <c r="AA43" s="30" t="s">
        <v>51</v>
      </c>
      <c r="AB43" s="30" t="s">
        <v>127</v>
      </c>
      <c r="AC43" s="30" t="s">
        <v>89</v>
      </c>
      <c r="AD43" s="30" t="s">
        <v>141</v>
      </c>
      <c r="AE43" s="30" t="s">
        <v>82</v>
      </c>
      <c r="AF43" s="30" t="s">
        <v>51</v>
      </c>
      <c r="AG43" s="30" t="s">
        <v>51</v>
      </c>
      <c r="AH43" s="30" t="s">
        <v>52</v>
      </c>
      <c r="AI43" s="30" t="s">
        <v>52</v>
      </c>
      <c r="AJ43" s="30" t="s">
        <v>52</v>
      </c>
      <c r="AK43" s="30" t="s">
        <v>52</v>
      </c>
      <c r="AL43" s="30" t="s">
        <v>287</v>
      </c>
      <c r="AM43" s="30" t="s">
        <v>287</v>
      </c>
      <c r="AN43" s="30" t="s">
        <v>287</v>
      </c>
      <c r="AO43" s="30" t="s">
        <v>287</v>
      </c>
      <c r="AP43" s="30" t="s">
        <v>287</v>
      </c>
      <c r="AQ43" s="30" t="s">
        <v>287</v>
      </c>
      <c r="AR43" s="30" t="s">
        <v>52</v>
      </c>
      <c r="AS43" s="30" t="s">
        <v>51</v>
      </c>
      <c r="AT43" s="30" t="s">
        <v>51</v>
      </c>
      <c r="AU43" s="30" t="s">
        <v>90</v>
      </c>
      <c r="AV43" s="30" t="s">
        <v>68</v>
      </c>
      <c r="AW43" s="48">
        <v>1</v>
      </c>
      <c r="AX43" s="30" t="s">
        <v>287</v>
      </c>
      <c r="AY43" s="30" t="s">
        <v>287</v>
      </c>
    </row>
    <row r="44" spans="1:51" s="30" customFormat="1" ht="14" x14ac:dyDescent="0.2">
      <c r="A44" s="29">
        <v>37</v>
      </c>
      <c r="B44" s="29" t="s">
        <v>201</v>
      </c>
      <c r="C44" s="30" t="s">
        <v>193</v>
      </c>
      <c r="E44" s="31" t="s">
        <v>287</v>
      </c>
      <c r="H44" s="30" t="s">
        <v>52</v>
      </c>
      <c r="I44" s="30" t="s">
        <v>52</v>
      </c>
      <c r="J44" s="31">
        <v>45261</v>
      </c>
      <c r="K44" s="30" t="s">
        <v>52</v>
      </c>
      <c r="L44" s="32"/>
      <c r="M44" s="30" t="s">
        <v>52</v>
      </c>
      <c r="N44" s="32"/>
      <c r="O44" s="30" t="s">
        <v>51</v>
      </c>
      <c r="P44" s="30">
        <v>116</v>
      </c>
      <c r="Q44" s="30" t="s">
        <v>51</v>
      </c>
      <c r="R44" s="30">
        <v>0</v>
      </c>
      <c r="S44" s="30" t="s">
        <v>51</v>
      </c>
      <c r="T44" s="30" t="s">
        <v>185</v>
      </c>
      <c r="U44" s="30" t="s">
        <v>52</v>
      </c>
      <c r="V44" s="30" t="s">
        <v>52</v>
      </c>
      <c r="W44" s="30" t="s">
        <v>287</v>
      </c>
      <c r="X44" s="30" t="s">
        <v>52</v>
      </c>
      <c r="Y44" s="30" t="s">
        <v>287</v>
      </c>
      <c r="AA44" s="30" t="s">
        <v>51</v>
      </c>
      <c r="AB44" s="30" t="s">
        <v>127</v>
      </c>
      <c r="AC44" s="30" t="s">
        <v>89</v>
      </c>
      <c r="AD44" s="30" t="s">
        <v>141</v>
      </c>
      <c r="AE44" s="30" t="s">
        <v>82</v>
      </c>
      <c r="AF44" s="30" t="s">
        <v>51</v>
      </c>
      <c r="AG44" s="30" t="s">
        <v>51</v>
      </c>
      <c r="AH44" s="30" t="s">
        <v>52</v>
      </c>
      <c r="AI44" s="30" t="s">
        <v>52</v>
      </c>
      <c r="AJ44" s="30" t="s">
        <v>52</v>
      </c>
      <c r="AK44" s="30" t="s">
        <v>52</v>
      </c>
      <c r="AL44" s="30" t="s">
        <v>287</v>
      </c>
      <c r="AM44" s="30" t="s">
        <v>287</v>
      </c>
      <c r="AN44" s="30" t="s">
        <v>287</v>
      </c>
      <c r="AO44" s="30" t="s">
        <v>287</v>
      </c>
      <c r="AP44" s="30" t="s">
        <v>287</v>
      </c>
      <c r="AQ44" s="30" t="s">
        <v>287</v>
      </c>
      <c r="AR44" s="30" t="s">
        <v>52</v>
      </c>
      <c r="AS44" s="30" t="s">
        <v>51</v>
      </c>
      <c r="AT44" s="30" t="s">
        <v>51</v>
      </c>
      <c r="AU44" s="30" t="s">
        <v>90</v>
      </c>
      <c r="AV44" s="30" t="s">
        <v>68</v>
      </c>
      <c r="AW44" s="48">
        <v>1</v>
      </c>
      <c r="AX44" s="30" t="s">
        <v>287</v>
      </c>
      <c r="AY44" s="30" t="s">
        <v>287</v>
      </c>
    </row>
    <row r="45" spans="1:51" s="30" customFormat="1" ht="14" x14ac:dyDescent="0.2">
      <c r="A45" s="29">
        <v>37</v>
      </c>
      <c r="B45" s="29" t="s">
        <v>202</v>
      </c>
      <c r="C45" s="30" t="s">
        <v>193</v>
      </c>
      <c r="E45" s="31" t="s">
        <v>287</v>
      </c>
      <c r="H45" s="30" t="s">
        <v>52</v>
      </c>
      <c r="I45" s="30" t="s">
        <v>52</v>
      </c>
      <c r="J45" s="31">
        <v>45292</v>
      </c>
      <c r="K45" s="30" t="s">
        <v>52</v>
      </c>
      <c r="L45" s="32"/>
      <c r="M45" s="30" t="s">
        <v>52</v>
      </c>
      <c r="N45" s="32"/>
      <c r="O45" s="30" t="s">
        <v>51</v>
      </c>
      <c r="P45" s="30">
        <v>144</v>
      </c>
      <c r="Q45" s="30" t="s">
        <v>51</v>
      </c>
      <c r="R45" s="30">
        <v>0</v>
      </c>
      <c r="S45" s="30" t="s">
        <v>51</v>
      </c>
      <c r="T45" s="30" t="s">
        <v>185</v>
      </c>
      <c r="U45" s="30" t="s">
        <v>52</v>
      </c>
      <c r="V45" s="30" t="s">
        <v>52</v>
      </c>
      <c r="W45" s="30" t="s">
        <v>287</v>
      </c>
      <c r="X45" s="30" t="s">
        <v>52</v>
      </c>
      <c r="Y45" s="30" t="s">
        <v>287</v>
      </c>
      <c r="AA45" s="30" t="s">
        <v>51</v>
      </c>
      <c r="AB45" s="30" t="s">
        <v>127</v>
      </c>
      <c r="AC45" s="30" t="s">
        <v>89</v>
      </c>
      <c r="AD45" s="30" t="s">
        <v>141</v>
      </c>
      <c r="AE45" s="30" t="s">
        <v>82</v>
      </c>
      <c r="AF45" s="30" t="s">
        <v>51</v>
      </c>
      <c r="AG45" s="30" t="s">
        <v>51</v>
      </c>
      <c r="AH45" s="30" t="s">
        <v>52</v>
      </c>
      <c r="AI45" s="30" t="s">
        <v>52</v>
      </c>
      <c r="AJ45" s="30" t="s">
        <v>52</v>
      </c>
      <c r="AK45" s="30" t="s">
        <v>52</v>
      </c>
      <c r="AL45" s="30" t="s">
        <v>287</v>
      </c>
      <c r="AM45" s="30" t="s">
        <v>287</v>
      </c>
      <c r="AN45" s="30" t="s">
        <v>287</v>
      </c>
      <c r="AO45" s="30" t="s">
        <v>287</v>
      </c>
      <c r="AP45" s="30" t="s">
        <v>287</v>
      </c>
      <c r="AQ45" s="30" t="s">
        <v>287</v>
      </c>
      <c r="AR45" s="30" t="s">
        <v>52</v>
      </c>
      <c r="AS45" s="30" t="s">
        <v>51</v>
      </c>
      <c r="AT45" s="30" t="s">
        <v>51</v>
      </c>
      <c r="AU45" s="30" t="s">
        <v>90</v>
      </c>
      <c r="AV45" s="30" t="s">
        <v>68</v>
      </c>
      <c r="AW45" s="48">
        <v>1</v>
      </c>
      <c r="AX45" s="30" t="s">
        <v>287</v>
      </c>
      <c r="AY45" s="30" t="s">
        <v>287</v>
      </c>
    </row>
    <row r="46" spans="1:51" s="30" customFormat="1" ht="14" x14ac:dyDescent="0.2">
      <c r="A46" s="29">
        <v>37</v>
      </c>
      <c r="B46" s="29" t="s">
        <v>203</v>
      </c>
      <c r="C46" s="30" t="s">
        <v>193</v>
      </c>
      <c r="E46" s="31" t="s">
        <v>287</v>
      </c>
      <c r="H46" s="30" t="s">
        <v>52</v>
      </c>
      <c r="I46" s="30" t="s">
        <v>52</v>
      </c>
      <c r="J46" s="31">
        <v>45323</v>
      </c>
      <c r="K46" s="30" t="s">
        <v>52</v>
      </c>
      <c r="L46" s="32"/>
      <c r="M46" s="30" t="s">
        <v>52</v>
      </c>
      <c r="N46" s="32"/>
      <c r="O46" s="30" t="s">
        <v>51</v>
      </c>
      <c r="P46" s="30">
        <v>208</v>
      </c>
      <c r="Q46" s="30" t="s">
        <v>51</v>
      </c>
      <c r="R46" s="30">
        <v>0</v>
      </c>
      <c r="S46" s="30" t="s">
        <v>51</v>
      </c>
      <c r="T46" s="30" t="s">
        <v>185</v>
      </c>
      <c r="U46" s="30" t="s">
        <v>52</v>
      </c>
      <c r="V46" s="30" t="s">
        <v>52</v>
      </c>
      <c r="W46" s="30" t="s">
        <v>287</v>
      </c>
      <c r="X46" s="30" t="s">
        <v>52</v>
      </c>
      <c r="Y46" s="30" t="s">
        <v>287</v>
      </c>
      <c r="AA46" s="30" t="s">
        <v>51</v>
      </c>
      <c r="AB46" s="30" t="s">
        <v>127</v>
      </c>
      <c r="AC46" s="30" t="s">
        <v>89</v>
      </c>
      <c r="AD46" s="30" t="s">
        <v>141</v>
      </c>
      <c r="AE46" s="30" t="s">
        <v>82</v>
      </c>
      <c r="AF46" s="30" t="s">
        <v>51</v>
      </c>
      <c r="AG46" s="30" t="s">
        <v>51</v>
      </c>
      <c r="AH46" s="30" t="s">
        <v>52</v>
      </c>
      <c r="AI46" s="30" t="s">
        <v>52</v>
      </c>
      <c r="AJ46" s="30" t="s">
        <v>52</v>
      </c>
      <c r="AK46" s="30" t="s">
        <v>52</v>
      </c>
      <c r="AL46" s="30" t="s">
        <v>287</v>
      </c>
      <c r="AM46" s="30" t="s">
        <v>287</v>
      </c>
      <c r="AN46" s="30" t="s">
        <v>287</v>
      </c>
      <c r="AO46" s="30" t="s">
        <v>287</v>
      </c>
      <c r="AP46" s="30" t="s">
        <v>287</v>
      </c>
      <c r="AQ46" s="30" t="s">
        <v>287</v>
      </c>
      <c r="AR46" s="30" t="s">
        <v>52</v>
      </c>
      <c r="AS46" s="30" t="s">
        <v>51</v>
      </c>
      <c r="AT46" s="30" t="s">
        <v>51</v>
      </c>
      <c r="AU46" s="30" t="s">
        <v>90</v>
      </c>
      <c r="AV46" s="30" t="s">
        <v>68</v>
      </c>
      <c r="AW46" s="48">
        <v>1</v>
      </c>
      <c r="AX46" s="30" t="s">
        <v>287</v>
      </c>
      <c r="AY46" s="30" t="s">
        <v>287</v>
      </c>
    </row>
    <row r="47" spans="1:51" s="30" customFormat="1" ht="14" x14ac:dyDescent="0.2">
      <c r="A47" s="29">
        <v>37</v>
      </c>
      <c r="B47" s="29" t="s">
        <v>204</v>
      </c>
      <c r="C47" s="30" t="s">
        <v>193</v>
      </c>
      <c r="E47" s="31" t="s">
        <v>287</v>
      </c>
      <c r="H47" s="30" t="s">
        <v>52</v>
      </c>
      <c r="I47" s="30" t="s">
        <v>52</v>
      </c>
      <c r="J47" s="31">
        <v>45352</v>
      </c>
      <c r="K47" s="30" t="s">
        <v>52</v>
      </c>
      <c r="L47" s="32"/>
      <c r="M47" s="30" t="s">
        <v>52</v>
      </c>
      <c r="N47" s="32"/>
      <c r="O47" s="30" t="s">
        <v>51</v>
      </c>
      <c r="P47" s="30">
        <v>184</v>
      </c>
      <c r="Q47" s="30" t="s">
        <v>51</v>
      </c>
      <c r="R47" s="30">
        <v>0</v>
      </c>
      <c r="S47" s="30" t="s">
        <v>51</v>
      </c>
      <c r="T47" s="30" t="s">
        <v>185</v>
      </c>
      <c r="U47" s="30" t="s">
        <v>52</v>
      </c>
      <c r="V47" s="30" t="s">
        <v>52</v>
      </c>
      <c r="W47" s="30" t="s">
        <v>287</v>
      </c>
      <c r="X47" s="30" t="s">
        <v>52</v>
      </c>
      <c r="Y47" s="30" t="s">
        <v>287</v>
      </c>
      <c r="AA47" s="30" t="s">
        <v>51</v>
      </c>
      <c r="AB47" s="30" t="s">
        <v>127</v>
      </c>
      <c r="AC47" s="30" t="s">
        <v>89</v>
      </c>
      <c r="AD47" s="30" t="s">
        <v>141</v>
      </c>
      <c r="AE47" s="30" t="s">
        <v>82</v>
      </c>
      <c r="AF47" s="30" t="s">
        <v>51</v>
      </c>
      <c r="AG47" s="30" t="s">
        <v>51</v>
      </c>
      <c r="AH47" s="30" t="s">
        <v>52</v>
      </c>
      <c r="AI47" s="30" t="s">
        <v>52</v>
      </c>
      <c r="AJ47" s="30" t="s">
        <v>52</v>
      </c>
      <c r="AK47" s="30" t="s">
        <v>52</v>
      </c>
      <c r="AL47" s="30" t="s">
        <v>287</v>
      </c>
      <c r="AM47" s="30" t="s">
        <v>287</v>
      </c>
      <c r="AN47" s="30" t="s">
        <v>287</v>
      </c>
      <c r="AO47" s="30" t="s">
        <v>287</v>
      </c>
      <c r="AP47" s="30" t="s">
        <v>287</v>
      </c>
      <c r="AQ47" s="30" t="s">
        <v>287</v>
      </c>
      <c r="AR47" s="30" t="s">
        <v>52</v>
      </c>
      <c r="AS47" s="30" t="s">
        <v>51</v>
      </c>
      <c r="AT47" s="30" t="s">
        <v>51</v>
      </c>
      <c r="AU47" s="30" t="s">
        <v>90</v>
      </c>
      <c r="AV47" s="30" t="s">
        <v>68</v>
      </c>
      <c r="AW47" s="48">
        <v>1</v>
      </c>
      <c r="AX47" s="30" t="s">
        <v>287</v>
      </c>
      <c r="AY47" s="30" t="s">
        <v>287</v>
      </c>
    </row>
    <row r="48" spans="1:51" s="30" customFormat="1" ht="14" x14ac:dyDescent="0.2">
      <c r="A48" s="29">
        <v>37</v>
      </c>
      <c r="B48" s="29" t="s">
        <v>205</v>
      </c>
      <c r="C48" s="30" t="s">
        <v>193</v>
      </c>
      <c r="E48" s="31" t="s">
        <v>287</v>
      </c>
      <c r="H48" s="30" t="s">
        <v>52</v>
      </c>
      <c r="I48" s="30" t="s">
        <v>52</v>
      </c>
      <c r="J48" s="31">
        <v>45383</v>
      </c>
      <c r="K48" s="30" t="s">
        <v>52</v>
      </c>
      <c r="L48" s="32"/>
      <c r="M48" s="30" t="s">
        <v>52</v>
      </c>
      <c r="N48" s="32"/>
      <c r="O48" s="30" t="s">
        <v>51</v>
      </c>
      <c r="P48" s="30">
        <v>171</v>
      </c>
      <c r="Q48" s="30" t="s">
        <v>51</v>
      </c>
      <c r="R48" s="30">
        <v>0</v>
      </c>
      <c r="S48" s="30" t="s">
        <v>51</v>
      </c>
      <c r="T48" s="30" t="s">
        <v>185</v>
      </c>
      <c r="U48" s="30" t="s">
        <v>52</v>
      </c>
      <c r="V48" s="30" t="s">
        <v>52</v>
      </c>
      <c r="W48" s="30" t="s">
        <v>287</v>
      </c>
      <c r="X48" s="30" t="s">
        <v>52</v>
      </c>
      <c r="Y48" s="30" t="s">
        <v>287</v>
      </c>
      <c r="AA48" s="30" t="s">
        <v>51</v>
      </c>
      <c r="AB48" s="30" t="s">
        <v>127</v>
      </c>
      <c r="AC48" s="30" t="s">
        <v>89</v>
      </c>
      <c r="AD48" s="30" t="s">
        <v>141</v>
      </c>
      <c r="AE48" s="30" t="s">
        <v>82</v>
      </c>
      <c r="AF48" s="30" t="s">
        <v>51</v>
      </c>
      <c r="AG48" s="30" t="s">
        <v>51</v>
      </c>
      <c r="AH48" s="30" t="s">
        <v>52</v>
      </c>
      <c r="AI48" s="30" t="s">
        <v>52</v>
      </c>
      <c r="AJ48" s="30" t="s">
        <v>52</v>
      </c>
      <c r="AK48" s="30" t="s">
        <v>52</v>
      </c>
      <c r="AL48" s="30" t="s">
        <v>287</v>
      </c>
      <c r="AM48" s="30" t="s">
        <v>287</v>
      </c>
      <c r="AN48" s="30" t="s">
        <v>287</v>
      </c>
      <c r="AO48" s="30" t="s">
        <v>287</v>
      </c>
      <c r="AP48" s="30" t="s">
        <v>287</v>
      </c>
      <c r="AQ48" s="30" t="s">
        <v>287</v>
      </c>
      <c r="AR48" s="30" t="s">
        <v>52</v>
      </c>
      <c r="AS48" s="30" t="s">
        <v>51</v>
      </c>
      <c r="AT48" s="30" t="s">
        <v>51</v>
      </c>
      <c r="AU48" s="30" t="s">
        <v>90</v>
      </c>
      <c r="AV48" s="30" t="s">
        <v>68</v>
      </c>
      <c r="AW48" s="48">
        <v>1</v>
      </c>
      <c r="AX48" s="30" t="s">
        <v>287</v>
      </c>
      <c r="AY48" s="30" t="s">
        <v>287</v>
      </c>
    </row>
    <row r="49" spans="1:51" s="30" customFormat="1" ht="14" x14ac:dyDescent="0.2">
      <c r="A49" s="29">
        <v>37</v>
      </c>
      <c r="B49" s="29" t="s">
        <v>206</v>
      </c>
      <c r="C49" s="30" t="s">
        <v>193</v>
      </c>
      <c r="E49" s="31" t="s">
        <v>287</v>
      </c>
      <c r="H49" s="30" t="s">
        <v>52</v>
      </c>
      <c r="I49" s="30" t="s">
        <v>52</v>
      </c>
      <c r="J49" s="31">
        <v>45413</v>
      </c>
      <c r="K49" s="30" t="s">
        <v>52</v>
      </c>
      <c r="L49" s="32"/>
      <c r="M49" s="30" t="s">
        <v>52</v>
      </c>
      <c r="N49" s="32"/>
      <c r="O49" s="30" t="s">
        <v>51</v>
      </c>
      <c r="P49" s="30">
        <v>145</v>
      </c>
      <c r="Q49" s="30" t="s">
        <v>51</v>
      </c>
      <c r="R49" s="30">
        <v>0</v>
      </c>
      <c r="S49" s="30" t="s">
        <v>51</v>
      </c>
      <c r="T49" s="30" t="s">
        <v>185</v>
      </c>
      <c r="U49" s="30" t="s">
        <v>52</v>
      </c>
      <c r="V49" s="30" t="s">
        <v>52</v>
      </c>
      <c r="W49" s="30" t="s">
        <v>287</v>
      </c>
      <c r="X49" s="30" t="s">
        <v>52</v>
      </c>
      <c r="Y49" s="30" t="s">
        <v>287</v>
      </c>
      <c r="AA49" s="30" t="s">
        <v>51</v>
      </c>
      <c r="AB49" s="30" t="s">
        <v>127</v>
      </c>
      <c r="AC49" s="30" t="s">
        <v>89</v>
      </c>
      <c r="AD49" s="30" t="s">
        <v>141</v>
      </c>
      <c r="AE49" s="30" t="s">
        <v>82</v>
      </c>
      <c r="AF49" s="30" t="s">
        <v>51</v>
      </c>
      <c r="AG49" s="30" t="s">
        <v>51</v>
      </c>
      <c r="AH49" s="30" t="s">
        <v>52</v>
      </c>
      <c r="AI49" s="30" t="s">
        <v>52</v>
      </c>
      <c r="AJ49" s="30" t="s">
        <v>52</v>
      </c>
      <c r="AK49" s="30" t="s">
        <v>52</v>
      </c>
      <c r="AL49" s="30" t="s">
        <v>287</v>
      </c>
      <c r="AM49" s="30" t="s">
        <v>287</v>
      </c>
      <c r="AN49" s="30" t="s">
        <v>287</v>
      </c>
      <c r="AO49" s="30" t="s">
        <v>287</v>
      </c>
      <c r="AP49" s="30" t="s">
        <v>287</v>
      </c>
      <c r="AQ49" s="30" t="s">
        <v>287</v>
      </c>
      <c r="AR49" s="30" t="s">
        <v>52</v>
      </c>
      <c r="AS49" s="30" t="s">
        <v>51</v>
      </c>
      <c r="AT49" s="30" t="s">
        <v>51</v>
      </c>
      <c r="AU49" s="30" t="s">
        <v>90</v>
      </c>
      <c r="AV49" s="30" t="s">
        <v>68</v>
      </c>
      <c r="AW49" s="48">
        <v>1</v>
      </c>
      <c r="AX49" s="30" t="s">
        <v>287</v>
      </c>
      <c r="AY49" s="30" t="s">
        <v>287</v>
      </c>
    </row>
    <row r="50" spans="1:51" s="30" customFormat="1" ht="14" x14ac:dyDescent="0.2">
      <c r="A50" s="29">
        <v>37</v>
      </c>
      <c r="B50" s="29" t="s">
        <v>207</v>
      </c>
      <c r="C50" s="30" t="s">
        <v>193</v>
      </c>
      <c r="E50" s="31" t="s">
        <v>287</v>
      </c>
      <c r="H50" s="30" t="s">
        <v>52</v>
      </c>
      <c r="I50" s="30" t="s">
        <v>52</v>
      </c>
      <c r="J50" s="31">
        <v>45444</v>
      </c>
      <c r="K50" s="30" t="s">
        <v>52</v>
      </c>
      <c r="L50" s="32"/>
      <c r="M50" s="30" t="s">
        <v>52</v>
      </c>
      <c r="N50" s="32"/>
      <c r="O50" s="30" t="s">
        <v>51</v>
      </c>
      <c r="P50" s="30">
        <v>108</v>
      </c>
      <c r="Q50" s="30" t="s">
        <v>51</v>
      </c>
      <c r="R50" s="30">
        <v>0</v>
      </c>
      <c r="S50" s="30" t="s">
        <v>51</v>
      </c>
      <c r="T50" s="30" t="s">
        <v>185</v>
      </c>
      <c r="U50" s="30" t="s">
        <v>52</v>
      </c>
      <c r="V50" s="30" t="s">
        <v>52</v>
      </c>
      <c r="W50" s="30" t="s">
        <v>287</v>
      </c>
      <c r="X50" s="30" t="s">
        <v>52</v>
      </c>
      <c r="Y50" s="30" t="s">
        <v>287</v>
      </c>
      <c r="AA50" s="30" t="s">
        <v>51</v>
      </c>
      <c r="AB50" s="30" t="s">
        <v>127</v>
      </c>
      <c r="AC50" s="30" t="s">
        <v>89</v>
      </c>
      <c r="AD50" s="30" t="s">
        <v>141</v>
      </c>
      <c r="AE50" s="30" t="s">
        <v>82</v>
      </c>
      <c r="AF50" s="30" t="s">
        <v>51</v>
      </c>
      <c r="AG50" s="30" t="s">
        <v>51</v>
      </c>
      <c r="AH50" s="30" t="s">
        <v>52</v>
      </c>
      <c r="AI50" s="30" t="s">
        <v>52</v>
      </c>
      <c r="AJ50" s="30" t="s">
        <v>52</v>
      </c>
      <c r="AK50" s="30" t="s">
        <v>52</v>
      </c>
      <c r="AL50" s="30" t="s">
        <v>287</v>
      </c>
      <c r="AM50" s="30" t="s">
        <v>287</v>
      </c>
      <c r="AN50" s="30" t="s">
        <v>287</v>
      </c>
      <c r="AO50" s="30" t="s">
        <v>287</v>
      </c>
      <c r="AP50" s="30" t="s">
        <v>287</v>
      </c>
      <c r="AQ50" s="30" t="s">
        <v>287</v>
      </c>
      <c r="AR50" s="30" t="s">
        <v>52</v>
      </c>
      <c r="AS50" s="30" t="s">
        <v>51</v>
      </c>
      <c r="AT50" s="30" t="s">
        <v>51</v>
      </c>
      <c r="AU50" s="30" t="s">
        <v>90</v>
      </c>
      <c r="AV50" s="30" t="s">
        <v>68</v>
      </c>
      <c r="AW50" s="48">
        <v>1</v>
      </c>
      <c r="AX50" s="30" t="s">
        <v>287</v>
      </c>
      <c r="AY50" s="30" t="s">
        <v>287</v>
      </c>
    </row>
    <row r="51" spans="1:51" s="30" customFormat="1" ht="14" x14ac:dyDescent="0.2">
      <c r="A51" s="29">
        <v>37</v>
      </c>
      <c r="B51" s="29" t="s">
        <v>208</v>
      </c>
      <c r="C51" s="30" t="s">
        <v>193</v>
      </c>
      <c r="E51" s="31" t="s">
        <v>287</v>
      </c>
      <c r="H51" s="30" t="s">
        <v>52</v>
      </c>
      <c r="I51" s="30" t="s">
        <v>52</v>
      </c>
      <c r="J51" s="31">
        <v>45474</v>
      </c>
      <c r="K51" s="30" t="s">
        <v>52</v>
      </c>
      <c r="L51" s="32"/>
      <c r="M51" s="30" t="s">
        <v>52</v>
      </c>
      <c r="N51" s="32"/>
      <c r="O51" s="30" t="s">
        <v>51</v>
      </c>
      <c r="P51" s="30">
        <v>110</v>
      </c>
      <c r="Q51" s="30" t="s">
        <v>51</v>
      </c>
      <c r="R51" s="30">
        <v>0</v>
      </c>
      <c r="S51" s="30" t="s">
        <v>51</v>
      </c>
      <c r="T51" s="30" t="s">
        <v>185</v>
      </c>
      <c r="U51" s="30" t="s">
        <v>52</v>
      </c>
      <c r="V51" s="30" t="s">
        <v>52</v>
      </c>
      <c r="W51" s="30" t="s">
        <v>287</v>
      </c>
      <c r="X51" s="30" t="s">
        <v>52</v>
      </c>
      <c r="Y51" s="30" t="s">
        <v>287</v>
      </c>
      <c r="AA51" s="30" t="s">
        <v>51</v>
      </c>
      <c r="AB51" s="30" t="s">
        <v>127</v>
      </c>
      <c r="AC51" s="30" t="s">
        <v>89</v>
      </c>
      <c r="AD51" s="30" t="s">
        <v>141</v>
      </c>
      <c r="AE51" s="30" t="s">
        <v>82</v>
      </c>
      <c r="AF51" s="30" t="s">
        <v>51</v>
      </c>
      <c r="AG51" s="30" t="s">
        <v>51</v>
      </c>
      <c r="AH51" s="30" t="s">
        <v>52</v>
      </c>
      <c r="AI51" s="30" t="s">
        <v>52</v>
      </c>
      <c r="AJ51" s="30" t="s">
        <v>52</v>
      </c>
      <c r="AK51" s="30" t="s">
        <v>52</v>
      </c>
      <c r="AL51" s="30" t="s">
        <v>287</v>
      </c>
      <c r="AM51" s="30" t="s">
        <v>287</v>
      </c>
      <c r="AN51" s="30" t="s">
        <v>287</v>
      </c>
      <c r="AO51" s="30" t="s">
        <v>287</v>
      </c>
      <c r="AP51" s="30" t="s">
        <v>287</v>
      </c>
      <c r="AQ51" s="30" t="s">
        <v>287</v>
      </c>
      <c r="AR51" s="30" t="s">
        <v>52</v>
      </c>
      <c r="AS51" s="30" t="s">
        <v>51</v>
      </c>
      <c r="AT51" s="30" t="s">
        <v>51</v>
      </c>
      <c r="AU51" s="30" t="s">
        <v>90</v>
      </c>
      <c r="AV51" s="30" t="s">
        <v>68</v>
      </c>
      <c r="AW51" s="48">
        <v>1</v>
      </c>
      <c r="AX51" s="30" t="s">
        <v>287</v>
      </c>
      <c r="AY51" s="30" t="s">
        <v>287</v>
      </c>
    </row>
    <row r="52" spans="1:51" s="30" customFormat="1" ht="14" x14ac:dyDescent="0.2">
      <c r="A52" s="29">
        <v>37</v>
      </c>
      <c r="B52" s="29" t="s">
        <v>209</v>
      </c>
      <c r="C52" s="30" t="s">
        <v>193</v>
      </c>
      <c r="E52" s="31" t="s">
        <v>287</v>
      </c>
      <c r="H52" s="30" t="s">
        <v>52</v>
      </c>
      <c r="I52" s="30" t="s">
        <v>52</v>
      </c>
      <c r="J52" s="31">
        <v>45505</v>
      </c>
      <c r="K52" s="30" t="s">
        <v>52</v>
      </c>
      <c r="L52" s="32"/>
      <c r="M52" s="30" t="s">
        <v>52</v>
      </c>
      <c r="N52" s="32"/>
      <c r="O52" s="30" t="s">
        <v>51</v>
      </c>
      <c r="P52" s="30">
        <v>161</v>
      </c>
      <c r="Q52" s="30" t="s">
        <v>51</v>
      </c>
      <c r="R52" s="30">
        <v>0</v>
      </c>
      <c r="S52" s="30" t="s">
        <v>51</v>
      </c>
      <c r="T52" s="30" t="s">
        <v>185</v>
      </c>
      <c r="U52" s="30" t="s">
        <v>52</v>
      </c>
      <c r="V52" s="30" t="s">
        <v>52</v>
      </c>
      <c r="W52" s="30" t="s">
        <v>287</v>
      </c>
      <c r="X52" s="30" t="s">
        <v>52</v>
      </c>
      <c r="Y52" s="30" t="s">
        <v>287</v>
      </c>
      <c r="AA52" s="30" t="s">
        <v>51</v>
      </c>
      <c r="AB52" s="30" t="s">
        <v>127</v>
      </c>
      <c r="AC52" s="30" t="s">
        <v>89</v>
      </c>
      <c r="AD52" s="30" t="s">
        <v>141</v>
      </c>
      <c r="AE52" s="30" t="s">
        <v>82</v>
      </c>
      <c r="AF52" s="30" t="s">
        <v>51</v>
      </c>
      <c r="AG52" s="30" t="s">
        <v>51</v>
      </c>
      <c r="AH52" s="30" t="s">
        <v>52</v>
      </c>
      <c r="AI52" s="30" t="s">
        <v>52</v>
      </c>
      <c r="AJ52" s="30" t="s">
        <v>52</v>
      </c>
      <c r="AK52" s="30" t="s">
        <v>52</v>
      </c>
      <c r="AL52" s="30" t="s">
        <v>287</v>
      </c>
      <c r="AM52" s="30" t="s">
        <v>287</v>
      </c>
      <c r="AN52" s="30" t="s">
        <v>287</v>
      </c>
      <c r="AO52" s="30" t="s">
        <v>287</v>
      </c>
      <c r="AP52" s="30" t="s">
        <v>287</v>
      </c>
      <c r="AQ52" s="30" t="s">
        <v>287</v>
      </c>
      <c r="AR52" s="30" t="s">
        <v>52</v>
      </c>
      <c r="AS52" s="30" t="s">
        <v>51</v>
      </c>
      <c r="AT52" s="30" t="s">
        <v>51</v>
      </c>
      <c r="AU52" s="30" t="s">
        <v>90</v>
      </c>
      <c r="AV52" s="30" t="s">
        <v>68</v>
      </c>
      <c r="AW52" s="48">
        <v>1</v>
      </c>
      <c r="AX52" s="30" t="s">
        <v>287</v>
      </c>
      <c r="AY52" s="30" t="s">
        <v>287</v>
      </c>
    </row>
    <row r="53" spans="1:51" s="30" customFormat="1" ht="12.75" customHeight="1" x14ac:dyDescent="0.2">
      <c r="A53" s="29">
        <v>37</v>
      </c>
      <c r="B53" s="29" t="s">
        <v>186</v>
      </c>
      <c r="C53" s="30" t="s">
        <v>184</v>
      </c>
      <c r="D53" s="30" t="s">
        <v>183</v>
      </c>
      <c r="E53" s="31">
        <v>45320</v>
      </c>
      <c r="F53" s="30" t="s">
        <v>190</v>
      </c>
      <c r="G53" s="33"/>
      <c r="H53" s="30" t="s">
        <v>52</v>
      </c>
      <c r="I53" s="30" t="s">
        <v>52</v>
      </c>
      <c r="J53" s="31" t="s">
        <v>287</v>
      </c>
      <c r="K53" s="30" t="s">
        <v>52</v>
      </c>
      <c r="L53" s="32"/>
      <c r="M53" s="30" t="s">
        <v>51</v>
      </c>
      <c r="N53" s="32">
        <v>9</v>
      </c>
      <c r="O53" s="30" t="s">
        <v>52</v>
      </c>
      <c r="Q53" s="30" t="s">
        <v>52</v>
      </c>
      <c r="S53" s="30" t="s">
        <v>52</v>
      </c>
      <c r="T53" s="34" t="s">
        <v>287</v>
      </c>
      <c r="U53" s="34" t="s">
        <v>287</v>
      </c>
      <c r="V53" s="30" t="s">
        <v>52</v>
      </c>
      <c r="W53" s="34" t="s">
        <v>287</v>
      </c>
      <c r="X53" s="30" t="s">
        <v>51</v>
      </c>
      <c r="Y53" s="30" t="s">
        <v>191</v>
      </c>
      <c r="Z53" s="30" t="s">
        <v>51</v>
      </c>
      <c r="AA53" s="30" t="s">
        <v>51</v>
      </c>
      <c r="AB53" s="30" t="s">
        <v>88</v>
      </c>
      <c r="AC53" s="30" t="s">
        <v>89</v>
      </c>
      <c r="AD53" s="30" t="s">
        <v>141</v>
      </c>
      <c r="AE53" s="30" t="s">
        <v>82</v>
      </c>
      <c r="AF53" s="30" t="s">
        <v>82</v>
      </c>
      <c r="AG53" s="30" t="s">
        <v>52</v>
      </c>
      <c r="AH53" s="30" t="s">
        <v>82</v>
      </c>
      <c r="AI53" s="30" t="s">
        <v>82</v>
      </c>
      <c r="AJ53" s="30" t="s">
        <v>82</v>
      </c>
      <c r="AK53" s="30" t="s">
        <v>52</v>
      </c>
      <c r="AL53" s="34" t="s">
        <v>287</v>
      </c>
      <c r="AM53" s="34" t="s">
        <v>287</v>
      </c>
      <c r="AN53" s="34" t="s">
        <v>287</v>
      </c>
      <c r="AO53" s="34" t="s">
        <v>287</v>
      </c>
      <c r="AP53" s="34" t="s">
        <v>287</v>
      </c>
      <c r="AQ53" s="34" t="s">
        <v>287</v>
      </c>
      <c r="AR53" s="30" t="s">
        <v>52</v>
      </c>
      <c r="AS53" s="30" t="s">
        <v>52</v>
      </c>
      <c r="AT53" s="30" t="s">
        <v>52</v>
      </c>
      <c r="AU53" s="35" t="s">
        <v>287</v>
      </c>
      <c r="AV53" s="35" t="s">
        <v>287</v>
      </c>
      <c r="AW53" s="35" t="s">
        <v>287</v>
      </c>
      <c r="AX53" s="35" t="s">
        <v>287</v>
      </c>
      <c r="AY53" s="35" t="s">
        <v>287</v>
      </c>
    </row>
    <row r="54" spans="1:51" s="30" customFormat="1" ht="14" x14ac:dyDescent="0.2">
      <c r="A54" s="29">
        <v>37</v>
      </c>
      <c r="B54" s="29" t="s">
        <v>210</v>
      </c>
      <c r="C54" s="30" t="s">
        <v>193</v>
      </c>
      <c r="E54" s="31" t="s">
        <v>287</v>
      </c>
      <c r="H54" s="30" t="s">
        <v>52</v>
      </c>
      <c r="I54" s="30" t="s">
        <v>52</v>
      </c>
      <c r="J54" s="31">
        <v>45536</v>
      </c>
      <c r="K54" s="30" t="s">
        <v>52</v>
      </c>
      <c r="L54" s="32"/>
      <c r="M54" s="30" t="s">
        <v>52</v>
      </c>
      <c r="N54" s="32"/>
      <c r="O54" s="30" t="s">
        <v>51</v>
      </c>
      <c r="P54" s="30">
        <v>207</v>
      </c>
      <c r="Q54" s="30" t="s">
        <v>51</v>
      </c>
      <c r="R54" s="30">
        <v>0</v>
      </c>
      <c r="S54" s="30" t="s">
        <v>51</v>
      </c>
      <c r="T54" s="30" t="s">
        <v>185</v>
      </c>
      <c r="U54" s="30" t="s">
        <v>52</v>
      </c>
      <c r="V54" s="30" t="s">
        <v>52</v>
      </c>
      <c r="W54" s="30" t="s">
        <v>287</v>
      </c>
      <c r="X54" s="30" t="s">
        <v>52</v>
      </c>
      <c r="Y54" s="30" t="s">
        <v>287</v>
      </c>
      <c r="AA54" s="30" t="s">
        <v>51</v>
      </c>
      <c r="AB54" s="30" t="s">
        <v>127</v>
      </c>
      <c r="AC54" s="30" t="s">
        <v>89</v>
      </c>
      <c r="AD54" s="30" t="s">
        <v>141</v>
      </c>
      <c r="AE54" s="30" t="s">
        <v>82</v>
      </c>
      <c r="AF54" s="30" t="s">
        <v>51</v>
      </c>
      <c r="AG54" s="30" t="s">
        <v>51</v>
      </c>
      <c r="AH54" s="30" t="s">
        <v>52</v>
      </c>
      <c r="AI54" s="30" t="s">
        <v>52</v>
      </c>
      <c r="AJ54" s="30" t="s">
        <v>52</v>
      </c>
      <c r="AK54" s="30" t="s">
        <v>52</v>
      </c>
      <c r="AL54" s="30" t="s">
        <v>287</v>
      </c>
      <c r="AM54" s="30" t="s">
        <v>287</v>
      </c>
      <c r="AN54" s="30" t="s">
        <v>287</v>
      </c>
      <c r="AO54" s="30" t="s">
        <v>287</v>
      </c>
      <c r="AP54" s="30" t="s">
        <v>287</v>
      </c>
      <c r="AQ54" s="30" t="s">
        <v>287</v>
      </c>
      <c r="AR54" s="30" t="s">
        <v>52</v>
      </c>
      <c r="AS54" s="30" t="s">
        <v>51</v>
      </c>
      <c r="AT54" s="30" t="s">
        <v>51</v>
      </c>
      <c r="AU54" s="30" t="s">
        <v>90</v>
      </c>
      <c r="AV54" s="30" t="s">
        <v>68</v>
      </c>
      <c r="AW54" s="48">
        <v>1</v>
      </c>
      <c r="AX54" s="30" t="s">
        <v>287</v>
      </c>
      <c r="AY54" s="30" t="s">
        <v>287</v>
      </c>
    </row>
    <row r="55" spans="1:51" s="30" customFormat="1" ht="12.75" customHeight="1" x14ac:dyDescent="0.2">
      <c r="A55" s="29">
        <v>37</v>
      </c>
      <c r="B55" s="29" t="s">
        <v>211</v>
      </c>
      <c r="C55" s="30" t="s">
        <v>193</v>
      </c>
      <c r="E55" s="31" t="s">
        <v>287</v>
      </c>
      <c r="H55" s="30" t="s">
        <v>52</v>
      </c>
      <c r="I55" s="30" t="s">
        <v>52</v>
      </c>
      <c r="J55" s="31">
        <v>45566</v>
      </c>
      <c r="K55" s="30" t="s">
        <v>52</v>
      </c>
      <c r="L55" s="32"/>
      <c r="M55" s="30" t="s">
        <v>52</v>
      </c>
      <c r="N55" s="32"/>
      <c r="O55" s="30" t="s">
        <v>51</v>
      </c>
      <c r="P55" s="30">
        <v>96</v>
      </c>
      <c r="Q55" s="30" t="s">
        <v>51</v>
      </c>
      <c r="R55" s="30">
        <v>1</v>
      </c>
      <c r="S55" s="30" t="s">
        <v>51</v>
      </c>
      <c r="T55" s="30" t="s">
        <v>185</v>
      </c>
      <c r="U55" s="30" t="s">
        <v>52</v>
      </c>
      <c r="V55" s="30" t="s">
        <v>52</v>
      </c>
      <c r="W55" s="30" t="s">
        <v>287</v>
      </c>
      <c r="X55" s="30" t="s">
        <v>52</v>
      </c>
      <c r="Y55" s="30" t="s">
        <v>287</v>
      </c>
      <c r="AA55" s="30" t="s">
        <v>51</v>
      </c>
      <c r="AB55" s="30" t="s">
        <v>127</v>
      </c>
      <c r="AC55" s="30" t="s">
        <v>89</v>
      </c>
      <c r="AD55" s="30" t="s">
        <v>141</v>
      </c>
      <c r="AE55" s="30" t="s">
        <v>82</v>
      </c>
      <c r="AF55" s="30" t="s">
        <v>51</v>
      </c>
      <c r="AG55" s="30" t="s">
        <v>51</v>
      </c>
      <c r="AH55" s="30" t="s">
        <v>52</v>
      </c>
      <c r="AI55" s="30" t="s">
        <v>52</v>
      </c>
      <c r="AJ55" s="30" t="s">
        <v>52</v>
      </c>
      <c r="AK55" s="30" t="s">
        <v>52</v>
      </c>
      <c r="AL55" s="30" t="s">
        <v>287</v>
      </c>
      <c r="AM55" s="30" t="s">
        <v>287</v>
      </c>
      <c r="AN55" s="30" t="s">
        <v>287</v>
      </c>
      <c r="AO55" s="30" t="s">
        <v>287</v>
      </c>
      <c r="AP55" s="30" t="s">
        <v>287</v>
      </c>
      <c r="AQ55" s="30" t="s">
        <v>287</v>
      </c>
      <c r="AR55" s="30" t="s">
        <v>52</v>
      </c>
      <c r="AS55" s="30" t="s">
        <v>51</v>
      </c>
      <c r="AT55" s="30" t="s">
        <v>51</v>
      </c>
      <c r="AU55" s="30" t="s">
        <v>90</v>
      </c>
      <c r="AV55" s="30" t="s">
        <v>68</v>
      </c>
      <c r="AW55" s="48">
        <v>1</v>
      </c>
      <c r="AX55" s="30" t="s">
        <v>287</v>
      </c>
      <c r="AY55" s="30" t="s">
        <v>287</v>
      </c>
    </row>
    <row r="56" spans="1:51" s="30" customFormat="1" ht="14" x14ac:dyDescent="0.2">
      <c r="A56" s="29">
        <v>37</v>
      </c>
      <c r="B56" s="29" t="s">
        <v>212</v>
      </c>
      <c r="C56" s="30" t="s">
        <v>193</v>
      </c>
      <c r="E56" s="31" t="s">
        <v>287</v>
      </c>
      <c r="H56" s="30" t="s">
        <v>52</v>
      </c>
      <c r="I56" s="30" t="s">
        <v>52</v>
      </c>
      <c r="J56" s="31">
        <v>45597</v>
      </c>
      <c r="K56" s="30" t="s">
        <v>52</v>
      </c>
      <c r="L56" s="32"/>
      <c r="M56" s="30" t="s">
        <v>52</v>
      </c>
      <c r="N56" s="32"/>
      <c r="O56" s="30" t="s">
        <v>51</v>
      </c>
      <c r="P56" s="30">
        <v>176</v>
      </c>
      <c r="Q56" s="30" t="s">
        <v>51</v>
      </c>
      <c r="R56" s="30">
        <v>0</v>
      </c>
      <c r="S56" s="30" t="s">
        <v>51</v>
      </c>
      <c r="T56" s="30" t="s">
        <v>185</v>
      </c>
      <c r="U56" s="30" t="s">
        <v>52</v>
      </c>
      <c r="V56" s="30" t="s">
        <v>52</v>
      </c>
      <c r="W56" s="30" t="s">
        <v>287</v>
      </c>
      <c r="X56" s="30" t="s">
        <v>52</v>
      </c>
      <c r="Y56" s="30" t="s">
        <v>287</v>
      </c>
      <c r="AA56" s="30" t="s">
        <v>51</v>
      </c>
      <c r="AB56" s="30" t="s">
        <v>127</v>
      </c>
      <c r="AC56" s="30" t="s">
        <v>89</v>
      </c>
      <c r="AD56" s="30" t="s">
        <v>141</v>
      </c>
      <c r="AE56" s="30" t="s">
        <v>82</v>
      </c>
      <c r="AF56" s="30" t="s">
        <v>51</v>
      </c>
      <c r="AG56" s="30" t="s">
        <v>51</v>
      </c>
      <c r="AH56" s="30" t="s">
        <v>52</v>
      </c>
      <c r="AI56" s="30" t="s">
        <v>52</v>
      </c>
      <c r="AJ56" s="30" t="s">
        <v>52</v>
      </c>
      <c r="AK56" s="30" t="s">
        <v>52</v>
      </c>
      <c r="AL56" s="30" t="s">
        <v>287</v>
      </c>
      <c r="AM56" s="30" t="s">
        <v>287</v>
      </c>
      <c r="AN56" s="30" t="s">
        <v>287</v>
      </c>
      <c r="AO56" s="30" t="s">
        <v>287</v>
      </c>
      <c r="AP56" s="30" t="s">
        <v>287</v>
      </c>
      <c r="AQ56" s="30" t="s">
        <v>287</v>
      </c>
      <c r="AR56" s="30" t="s">
        <v>52</v>
      </c>
      <c r="AS56" s="30" t="s">
        <v>52</v>
      </c>
      <c r="AT56" s="30" t="s">
        <v>51</v>
      </c>
      <c r="AU56" s="48" t="s">
        <v>90</v>
      </c>
      <c r="AV56" s="48" t="s">
        <v>68</v>
      </c>
      <c r="AW56" s="48">
        <v>1</v>
      </c>
      <c r="AX56" s="30" t="s">
        <v>287</v>
      </c>
      <c r="AY56" s="30" t="s">
        <v>287</v>
      </c>
    </row>
    <row r="57" spans="1:51" s="30" customFormat="1" ht="14" x14ac:dyDescent="0.2">
      <c r="A57" s="29">
        <v>37</v>
      </c>
      <c r="B57" s="29" t="s">
        <v>213</v>
      </c>
      <c r="C57" s="30" t="s">
        <v>193</v>
      </c>
      <c r="E57" s="31" t="s">
        <v>287</v>
      </c>
      <c r="H57" s="30" t="s">
        <v>52</v>
      </c>
      <c r="I57" s="30" t="s">
        <v>52</v>
      </c>
      <c r="J57" s="31">
        <v>45627</v>
      </c>
      <c r="K57" s="30" t="s">
        <v>52</v>
      </c>
      <c r="L57" s="32"/>
      <c r="M57" s="30" t="s">
        <v>52</v>
      </c>
      <c r="N57" s="32"/>
      <c r="O57" s="30" t="s">
        <v>51</v>
      </c>
      <c r="P57" s="30">
        <v>215</v>
      </c>
      <c r="Q57" s="30" t="s">
        <v>51</v>
      </c>
      <c r="R57" s="30">
        <v>0</v>
      </c>
      <c r="S57" s="30" t="s">
        <v>51</v>
      </c>
      <c r="T57" s="30" t="s">
        <v>185</v>
      </c>
      <c r="U57" s="30" t="s">
        <v>52</v>
      </c>
      <c r="V57" s="30" t="s">
        <v>52</v>
      </c>
      <c r="W57" s="30" t="s">
        <v>287</v>
      </c>
      <c r="X57" s="30" t="s">
        <v>52</v>
      </c>
      <c r="Y57" s="30" t="s">
        <v>287</v>
      </c>
      <c r="AA57" s="30" t="s">
        <v>51</v>
      </c>
      <c r="AB57" s="30" t="s">
        <v>127</v>
      </c>
      <c r="AC57" s="30" t="s">
        <v>89</v>
      </c>
      <c r="AD57" s="30" t="s">
        <v>141</v>
      </c>
      <c r="AE57" s="30" t="s">
        <v>82</v>
      </c>
      <c r="AF57" s="30" t="s">
        <v>51</v>
      </c>
      <c r="AG57" s="30" t="s">
        <v>51</v>
      </c>
      <c r="AH57" s="30" t="s">
        <v>52</v>
      </c>
      <c r="AI57" s="30" t="s">
        <v>52</v>
      </c>
      <c r="AJ57" s="30" t="s">
        <v>52</v>
      </c>
      <c r="AK57" s="30" t="s">
        <v>52</v>
      </c>
      <c r="AL57" s="30" t="s">
        <v>287</v>
      </c>
      <c r="AM57" s="30" t="s">
        <v>287</v>
      </c>
      <c r="AN57" s="30" t="s">
        <v>287</v>
      </c>
      <c r="AO57" s="30" t="s">
        <v>287</v>
      </c>
      <c r="AP57" s="30" t="s">
        <v>287</v>
      </c>
      <c r="AQ57" s="30" t="s">
        <v>287</v>
      </c>
      <c r="AR57" s="48" t="s">
        <v>52</v>
      </c>
      <c r="AS57" s="30" t="s">
        <v>52</v>
      </c>
      <c r="AT57" s="30" t="s">
        <v>51</v>
      </c>
      <c r="AU57" s="48" t="s">
        <v>90</v>
      </c>
      <c r="AV57" s="48" t="s">
        <v>68</v>
      </c>
      <c r="AW57" s="48">
        <v>1</v>
      </c>
      <c r="AX57" s="30" t="s">
        <v>287</v>
      </c>
      <c r="AY57" s="30" t="s">
        <v>287</v>
      </c>
    </row>
    <row r="58" spans="1:51" s="30" customFormat="1" ht="14" x14ac:dyDescent="0.2">
      <c r="A58" s="29">
        <v>37</v>
      </c>
      <c r="B58" s="29" t="s">
        <v>214</v>
      </c>
      <c r="C58" s="30" t="s">
        <v>193</v>
      </c>
      <c r="E58" s="31" t="s">
        <v>287</v>
      </c>
      <c r="H58" s="30" t="s">
        <v>52</v>
      </c>
      <c r="I58" s="30" t="s">
        <v>52</v>
      </c>
      <c r="J58" s="31">
        <v>45658</v>
      </c>
      <c r="K58" s="30" t="s">
        <v>52</v>
      </c>
      <c r="L58" s="32"/>
      <c r="M58" s="30" t="s">
        <v>52</v>
      </c>
      <c r="N58" s="32"/>
      <c r="O58" s="30" t="s">
        <v>51</v>
      </c>
      <c r="P58" s="30">
        <v>89</v>
      </c>
      <c r="Q58" s="30" t="s">
        <v>51</v>
      </c>
      <c r="R58" s="30">
        <v>0</v>
      </c>
      <c r="S58" s="30" t="s">
        <v>51</v>
      </c>
      <c r="T58" s="30" t="s">
        <v>185</v>
      </c>
      <c r="U58" s="30" t="s">
        <v>52</v>
      </c>
      <c r="V58" s="30" t="s">
        <v>52</v>
      </c>
      <c r="W58" s="30" t="s">
        <v>287</v>
      </c>
      <c r="X58" s="30" t="s">
        <v>52</v>
      </c>
      <c r="Y58" s="30" t="s">
        <v>287</v>
      </c>
      <c r="AA58" s="30" t="s">
        <v>51</v>
      </c>
      <c r="AB58" s="30" t="s">
        <v>127</v>
      </c>
      <c r="AC58" s="30" t="s">
        <v>89</v>
      </c>
      <c r="AD58" s="30" t="s">
        <v>141</v>
      </c>
      <c r="AE58" s="30" t="s">
        <v>82</v>
      </c>
      <c r="AF58" s="30" t="s">
        <v>51</v>
      </c>
      <c r="AG58" s="30" t="s">
        <v>51</v>
      </c>
      <c r="AH58" s="30" t="s">
        <v>52</v>
      </c>
      <c r="AI58" s="30" t="s">
        <v>52</v>
      </c>
      <c r="AJ58" s="30" t="s">
        <v>52</v>
      </c>
      <c r="AK58" s="30" t="s">
        <v>52</v>
      </c>
      <c r="AL58" s="30" t="s">
        <v>287</v>
      </c>
      <c r="AM58" s="30" t="s">
        <v>287</v>
      </c>
      <c r="AN58" s="30" t="s">
        <v>287</v>
      </c>
      <c r="AO58" s="30" t="s">
        <v>287</v>
      </c>
      <c r="AP58" s="30" t="s">
        <v>287</v>
      </c>
      <c r="AQ58" s="30" t="s">
        <v>287</v>
      </c>
      <c r="AR58" s="48" t="s">
        <v>52</v>
      </c>
      <c r="AS58" s="30" t="s">
        <v>52</v>
      </c>
      <c r="AT58" s="30" t="s">
        <v>51</v>
      </c>
      <c r="AU58" s="48" t="s">
        <v>90</v>
      </c>
      <c r="AV58" s="48" t="s">
        <v>68</v>
      </c>
      <c r="AW58" s="48">
        <v>1</v>
      </c>
      <c r="AX58" s="30" t="s">
        <v>287</v>
      </c>
      <c r="AY58" s="30" t="s">
        <v>287</v>
      </c>
    </row>
    <row r="59" spans="1:51" s="30" customFormat="1" ht="14" x14ac:dyDescent="0.2">
      <c r="A59" s="29">
        <v>37</v>
      </c>
      <c r="B59" s="29" t="s">
        <v>215</v>
      </c>
      <c r="C59" s="30" t="s">
        <v>193</v>
      </c>
      <c r="E59" s="31" t="s">
        <v>287</v>
      </c>
      <c r="H59" s="30" t="s">
        <v>52</v>
      </c>
      <c r="I59" s="30" t="s">
        <v>52</v>
      </c>
      <c r="J59" s="31">
        <v>45689</v>
      </c>
      <c r="K59" s="30" t="s">
        <v>52</v>
      </c>
      <c r="L59" s="32"/>
      <c r="M59" s="30" t="s">
        <v>52</v>
      </c>
      <c r="N59" s="32"/>
      <c r="O59" s="30" t="s">
        <v>51</v>
      </c>
      <c r="P59" s="30">
        <v>90</v>
      </c>
      <c r="Q59" s="30" t="s">
        <v>51</v>
      </c>
      <c r="R59" s="30">
        <v>0</v>
      </c>
      <c r="S59" s="30" t="s">
        <v>51</v>
      </c>
      <c r="T59" s="30" t="s">
        <v>185</v>
      </c>
      <c r="U59" s="30" t="s">
        <v>52</v>
      </c>
      <c r="V59" s="30" t="s">
        <v>52</v>
      </c>
      <c r="W59" s="30" t="s">
        <v>287</v>
      </c>
      <c r="X59" s="30" t="s">
        <v>52</v>
      </c>
      <c r="Y59" s="30" t="s">
        <v>287</v>
      </c>
      <c r="AA59" s="30" t="s">
        <v>51</v>
      </c>
      <c r="AB59" s="30" t="s">
        <v>127</v>
      </c>
      <c r="AC59" s="30" t="s">
        <v>89</v>
      </c>
      <c r="AD59" s="30" t="s">
        <v>141</v>
      </c>
      <c r="AE59" s="30" t="s">
        <v>82</v>
      </c>
      <c r="AF59" s="30" t="s">
        <v>51</v>
      </c>
      <c r="AG59" s="30" t="s">
        <v>51</v>
      </c>
      <c r="AH59" s="30" t="s">
        <v>52</v>
      </c>
      <c r="AI59" s="30" t="s">
        <v>52</v>
      </c>
      <c r="AJ59" s="30" t="s">
        <v>52</v>
      </c>
      <c r="AK59" s="30" t="s">
        <v>52</v>
      </c>
      <c r="AL59" s="30" t="s">
        <v>287</v>
      </c>
      <c r="AM59" s="30" t="s">
        <v>287</v>
      </c>
      <c r="AN59" s="30" t="s">
        <v>287</v>
      </c>
      <c r="AO59" s="30" t="s">
        <v>287</v>
      </c>
      <c r="AP59" s="30" t="s">
        <v>287</v>
      </c>
      <c r="AQ59" s="30" t="s">
        <v>287</v>
      </c>
      <c r="AR59" s="48" t="s">
        <v>52</v>
      </c>
      <c r="AS59" s="30" t="s">
        <v>52</v>
      </c>
      <c r="AT59" s="30" t="s">
        <v>51</v>
      </c>
      <c r="AU59" s="48" t="s">
        <v>90</v>
      </c>
      <c r="AV59" s="48" t="s">
        <v>68</v>
      </c>
      <c r="AW59" s="48">
        <v>1</v>
      </c>
      <c r="AX59" s="30" t="s">
        <v>287</v>
      </c>
      <c r="AY59" s="30" t="s">
        <v>287</v>
      </c>
    </row>
    <row r="60" spans="1:51" s="30" customFormat="1" ht="14" x14ac:dyDescent="0.2">
      <c r="A60" s="29">
        <v>37</v>
      </c>
      <c r="B60" s="29" t="s">
        <v>216</v>
      </c>
      <c r="C60" s="30" t="s">
        <v>193</v>
      </c>
      <c r="E60" s="31" t="s">
        <v>287</v>
      </c>
      <c r="H60" s="30" t="s">
        <v>52</v>
      </c>
      <c r="I60" s="30" t="s">
        <v>52</v>
      </c>
      <c r="J60" s="31">
        <v>45717</v>
      </c>
      <c r="K60" s="30" t="s">
        <v>52</v>
      </c>
      <c r="L60" s="32"/>
      <c r="M60" s="30" t="s">
        <v>52</v>
      </c>
      <c r="N60" s="32"/>
      <c r="O60" s="30" t="s">
        <v>51</v>
      </c>
      <c r="P60" s="30">
        <v>85</v>
      </c>
      <c r="Q60" s="30" t="s">
        <v>51</v>
      </c>
      <c r="R60" s="30">
        <v>0</v>
      </c>
      <c r="S60" s="30" t="s">
        <v>51</v>
      </c>
      <c r="T60" s="30" t="s">
        <v>185</v>
      </c>
      <c r="U60" s="30" t="s">
        <v>52</v>
      </c>
      <c r="V60" s="30" t="s">
        <v>52</v>
      </c>
      <c r="W60" s="30" t="s">
        <v>287</v>
      </c>
      <c r="X60" s="30" t="s">
        <v>52</v>
      </c>
      <c r="Y60" s="30" t="s">
        <v>287</v>
      </c>
      <c r="AA60" s="30" t="s">
        <v>51</v>
      </c>
      <c r="AB60" s="30" t="s">
        <v>127</v>
      </c>
      <c r="AC60" s="30" t="s">
        <v>89</v>
      </c>
      <c r="AD60" s="30" t="s">
        <v>141</v>
      </c>
      <c r="AE60" s="30" t="s">
        <v>82</v>
      </c>
      <c r="AF60" s="30" t="s">
        <v>51</v>
      </c>
      <c r="AG60" s="30" t="s">
        <v>51</v>
      </c>
      <c r="AH60" s="30" t="s">
        <v>52</v>
      </c>
      <c r="AI60" s="30" t="s">
        <v>52</v>
      </c>
      <c r="AJ60" s="30" t="s">
        <v>52</v>
      </c>
      <c r="AK60" s="30" t="s">
        <v>52</v>
      </c>
      <c r="AL60" s="30" t="s">
        <v>287</v>
      </c>
      <c r="AM60" s="30" t="s">
        <v>287</v>
      </c>
      <c r="AN60" s="30" t="s">
        <v>287</v>
      </c>
      <c r="AO60" s="30" t="s">
        <v>287</v>
      </c>
      <c r="AP60" s="30" t="s">
        <v>287</v>
      </c>
      <c r="AQ60" s="30" t="s">
        <v>287</v>
      </c>
      <c r="AR60" s="48" t="s">
        <v>52</v>
      </c>
      <c r="AS60" s="30" t="s">
        <v>52</v>
      </c>
      <c r="AT60" s="30" t="s">
        <v>51</v>
      </c>
      <c r="AU60" s="48" t="s">
        <v>90</v>
      </c>
      <c r="AV60" s="48" t="s">
        <v>68</v>
      </c>
      <c r="AW60" s="48">
        <v>1</v>
      </c>
      <c r="AX60" s="30" t="s">
        <v>287</v>
      </c>
      <c r="AY60" s="30" t="s">
        <v>287</v>
      </c>
    </row>
    <row r="61" spans="1:51" s="30" customFormat="1" ht="13.5" customHeight="1" x14ac:dyDescent="0.2">
      <c r="A61" s="29">
        <v>37</v>
      </c>
      <c r="B61" s="29" t="s">
        <v>192</v>
      </c>
      <c r="C61" s="30" t="s">
        <v>193</v>
      </c>
      <c r="E61" s="31" t="s">
        <v>287</v>
      </c>
      <c r="H61" s="30" t="s">
        <v>52</v>
      </c>
      <c r="I61" s="30" t="s">
        <v>52</v>
      </c>
      <c r="J61" s="31">
        <v>45017</v>
      </c>
      <c r="K61" s="30" t="s">
        <v>52</v>
      </c>
      <c r="L61" s="32"/>
      <c r="M61" s="30" t="s">
        <v>52</v>
      </c>
      <c r="N61" s="32"/>
      <c r="O61" s="30" t="s">
        <v>51</v>
      </c>
      <c r="P61" s="30">
        <v>200</v>
      </c>
      <c r="Q61" s="30" t="s">
        <v>51</v>
      </c>
      <c r="R61" s="30">
        <v>1</v>
      </c>
      <c r="S61" s="30" t="s">
        <v>51</v>
      </c>
      <c r="T61" s="30" t="s">
        <v>185</v>
      </c>
      <c r="U61" s="30" t="s">
        <v>52</v>
      </c>
      <c r="V61" s="30" t="s">
        <v>52</v>
      </c>
      <c r="W61" s="30" t="s">
        <v>287</v>
      </c>
      <c r="X61" s="30" t="s">
        <v>52</v>
      </c>
      <c r="Y61" s="30" t="s">
        <v>287</v>
      </c>
      <c r="AA61" s="30" t="s">
        <v>51</v>
      </c>
      <c r="AB61" s="30" t="s">
        <v>127</v>
      </c>
      <c r="AC61" s="30" t="s">
        <v>89</v>
      </c>
      <c r="AD61" s="30" t="s">
        <v>141</v>
      </c>
      <c r="AE61" s="30" t="s">
        <v>82</v>
      </c>
      <c r="AF61" s="30" t="s">
        <v>51</v>
      </c>
      <c r="AG61" s="30" t="s">
        <v>51</v>
      </c>
      <c r="AH61" s="30" t="s">
        <v>52</v>
      </c>
      <c r="AI61" s="30" t="s">
        <v>52</v>
      </c>
      <c r="AJ61" s="30" t="s">
        <v>52</v>
      </c>
      <c r="AK61" s="30" t="s">
        <v>52</v>
      </c>
      <c r="AL61" s="30" t="s">
        <v>287</v>
      </c>
      <c r="AM61" s="30" t="s">
        <v>287</v>
      </c>
      <c r="AN61" s="30" t="s">
        <v>287</v>
      </c>
      <c r="AO61" s="30" t="s">
        <v>287</v>
      </c>
      <c r="AP61" s="30" t="s">
        <v>287</v>
      </c>
      <c r="AQ61" s="30" t="s">
        <v>287</v>
      </c>
      <c r="AR61" s="48" t="s">
        <v>52</v>
      </c>
      <c r="AS61" s="30" t="s">
        <v>52</v>
      </c>
      <c r="AT61" s="30" t="s">
        <v>51</v>
      </c>
      <c r="AU61" s="48" t="s">
        <v>90</v>
      </c>
      <c r="AV61" s="48" t="s">
        <v>68</v>
      </c>
      <c r="AW61" s="48">
        <v>1</v>
      </c>
      <c r="AX61" s="30" t="s">
        <v>287</v>
      </c>
      <c r="AY61" s="30" t="s">
        <v>287</v>
      </c>
    </row>
    <row r="62" spans="1:51" s="30" customFormat="1" ht="14" x14ac:dyDescent="0.2">
      <c r="A62" s="29">
        <v>37</v>
      </c>
      <c r="B62" s="29" t="s">
        <v>194</v>
      </c>
      <c r="C62" s="30" t="s">
        <v>193</v>
      </c>
      <c r="E62" s="31" t="s">
        <v>287</v>
      </c>
      <c r="H62" s="30" t="s">
        <v>52</v>
      </c>
      <c r="I62" s="30" t="s">
        <v>52</v>
      </c>
      <c r="J62" s="31">
        <v>45047</v>
      </c>
      <c r="K62" s="30" t="s">
        <v>52</v>
      </c>
      <c r="L62" s="32"/>
      <c r="M62" s="30" t="s">
        <v>52</v>
      </c>
      <c r="N62" s="32"/>
      <c r="O62" s="30" t="s">
        <v>51</v>
      </c>
      <c r="P62" s="30">
        <v>203</v>
      </c>
      <c r="Q62" s="30" t="s">
        <v>51</v>
      </c>
      <c r="R62" s="30">
        <v>0</v>
      </c>
      <c r="S62" s="30" t="s">
        <v>51</v>
      </c>
      <c r="T62" s="30" t="s">
        <v>185</v>
      </c>
      <c r="U62" s="30" t="s">
        <v>52</v>
      </c>
      <c r="V62" s="30" t="s">
        <v>52</v>
      </c>
      <c r="W62" s="30" t="s">
        <v>287</v>
      </c>
      <c r="X62" s="30" t="s">
        <v>52</v>
      </c>
      <c r="Y62" s="30" t="s">
        <v>287</v>
      </c>
      <c r="AA62" s="30" t="s">
        <v>51</v>
      </c>
      <c r="AB62" s="30" t="s">
        <v>127</v>
      </c>
      <c r="AC62" s="30" t="s">
        <v>89</v>
      </c>
      <c r="AD62" s="30" t="s">
        <v>141</v>
      </c>
      <c r="AE62" s="30" t="s">
        <v>82</v>
      </c>
      <c r="AF62" s="30" t="s">
        <v>51</v>
      </c>
      <c r="AG62" s="30" t="s">
        <v>51</v>
      </c>
      <c r="AH62" s="30" t="s">
        <v>52</v>
      </c>
      <c r="AI62" s="30" t="s">
        <v>52</v>
      </c>
      <c r="AJ62" s="30" t="s">
        <v>52</v>
      </c>
      <c r="AK62" s="30" t="s">
        <v>52</v>
      </c>
      <c r="AL62" s="30" t="s">
        <v>287</v>
      </c>
      <c r="AM62" s="30" t="s">
        <v>287</v>
      </c>
      <c r="AN62" s="30" t="s">
        <v>287</v>
      </c>
      <c r="AO62" s="30" t="s">
        <v>287</v>
      </c>
      <c r="AP62" s="30" t="s">
        <v>287</v>
      </c>
      <c r="AQ62" s="30" t="s">
        <v>287</v>
      </c>
      <c r="AR62" s="48" t="s">
        <v>52</v>
      </c>
      <c r="AS62" s="30" t="s">
        <v>52</v>
      </c>
      <c r="AT62" s="30" t="s">
        <v>51</v>
      </c>
      <c r="AU62" s="48" t="s">
        <v>90</v>
      </c>
      <c r="AV62" s="48" t="s">
        <v>68</v>
      </c>
      <c r="AW62" s="48">
        <v>1</v>
      </c>
      <c r="AX62" s="30" t="s">
        <v>287</v>
      </c>
      <c r="AY62" s="30" t="s">
        <v>287</v>
      </c>
    </row>
    <row r="63" spans="1:51" s="30" customFormat="1" ht="14" x14ac:dyDescent="0.2">
      <c r="A63" s="29">
        <v>37</v>
      </c>
      <c r="B63" s="29" t="s">
        <v>195</v>
      </c>
      <c r="C63" s="30" t="s">
        <v>193</v>
      </c>
      <c r="E63" s="31" t="s">
        <v>287</v>
      </c>
      <c r="H63" s="30" t="s">
        <v>52</v>
      </c>
      <c r="I63" s="30" t="s">
        <v>52</v>
      </c>
      <c r="J63" s="31">
        <v>45078</v>
      </c>
      <c r="K63" s="30" t="s">
        <v>52</v>
      </c>
      <c r="L63" s="32"/>
      <c r="M63" s="30" t="s">
        <v>52</v>
      </c>
      <c r="N63" s="32"/>
      <c r="O63" s="30" t="s">
        <v>51</v>
      </c>
      <c r="P63" s="30">
        <v>163</v>
      </c>
      <c r="Q63" s="30" t="s">
        <v>51</v>
      </c>
      <c r="R63" s="30">
        <v>3</v>
      </c>
      <c r="S63" s="30" t="s">
        <v>51</v>
      </c>
      <c r="T63" s="30" t="s">
        <v>185</v>
      </c>
      <c r="U63" s="30" t="s">
        <v>52</v>
      </c>
      <c r="V63" s="30" t="s">
        <v>52</v>
      </c>
      <c r="W63" s="30" t="s">
        <v>287</v>
      </c>
      <c r="X63" s="30" t="s">
        <v>52</v>
      </c>
      <c r="Y63" s="30" t="s">
        <v>287</v>
      </c>
      <c r="AA63" s="30" t="s">
        <v>51</v>
      </c>
      <c r="AB63" s="30" t="s">
        <v>127</v>
      </c>
      <c r="AC63" s="30" t="s">
        <v>89</v>
      </c>
      <c r="AD63" s="30" t="s">
        <v>141</v>
      </c>
      <c r="AE63" s="30" t="s">
        <v>82</v>
      </c>
      <c r="AF63" s="30" t="s">
        <v>51</v>
      </c>
      <c r="AG63" s="30" t="s">
        <v>51</v>
      </c>
      <c r="AH63" s="30" t="s">
        <v>52</v>
      </c>
      <c r="AI63" s="30" t="s">
        <v>52</v>
      </c>
      <c r="AJ63" s="30" t="s">
        <v>52</v>
      </c>
      <c r="AK63" s="30" t="s">
        <v>52</v>
      </c>
      <c r="AL63" s="30" t="s">
        <v>287</v>
      </c>
      <c r="AM63" s="30" t="s">
        <v>287</v>
      </c>
      <c r="AN63" s="30" t="s">
        <v>287</v>
      </c>
      <c r="AO63" s="30" t="s">
        <v>287</v>
      </c>
      <c r="AP63" s="30" t="s">
        <v>287</v>
      </c>
      <c r="AQ63" s="30" t="s">
        <v>287</v>
      </c>
      <c r="AR63" s="48" t="s">
        <v>52</v>
      </c>
      <c r="AS63" s="30" t="s">
        <v>52</v>
      </c>
      <c r="AT63" s="30" t="s">
        <v>51</v>
      </c>
      <c r="AU63" s="48" t="s">
        <v>90</v>
      </c>
      <c r="AV63" s="48" t="s">
        <v>68</v>
      </c>
      <c r="AW63" s="48">
        <v>1</v>
      </c>
      <c r="AX63" s="30" t="s">
        <v>287</v>
      </c>
      <c r="AY63" s="30" t="s">
        <v>287</v>
      </c>
    </row>
    <row r="64" spans="1:51" s="30" customFormat="1" ht="15" customHeight="1" x14ac:dyDescent="0.2">
      <c r="A64" s="29">
        <v>37</v>
      </c>
      <c r="B64" s="29" t="s">
        <v>196</v>
      </c>
      <c r="C64" s="30" t="s">
        <v>193</v>
      </c>
      <c r="E64" s="31" t="s">
        <v>287</v>
      </c>
      <c r="H64" s="30" t="s">
        <v>52</v>
      </c>
      <c r="I64" s="30" t="s">
        <v>52</v>
      </c>
      <c r="J64" s="31">
        <v>45108</v>
      </c>
      <c r="K64" s="30" t="s">
        <v>52</v>
      </c>
      <c r="L64" s="32"/>
      <c r="M64" s="30" t="s">
        <v>52</v>
      </c>
      <c r="N64" s="32"/>
      <c r="O64" s="30" t="s">
        <v>51</v>
      </c>
      <c r="P64" s="30">
        <v>150</v>
      </c>
      <c r="Q64" s="30" t="s">
        <v>51</v>
      </c>
      <c r="R64" s="30">
        <v>0</v>
      </c>
      <c r="S64" s="30" t="s">
        <v>51</v>
      </c>
      <c r="T64" s="30" t="s">
        <v>185</v>
      </c>
      <c r="U64" s="30" t="s">
        <v>52</v>
      </c>
      <c r="V64" s="30" t="s">
        <v>52</v>
      </c>
      <c r="W64" s="30" t="s">
        <v>287</v>
      </c>
      <c r="X64" s="30" t="s">
        <v>52</v>
      </c>
      <c r="Y64" s="30" t="s">
        <v>287</v>
      </c>
      <c r="AA64" s="30" t="s">
        <v>51</v>
      </c>
      <c r="AB64" s="30" t="s">
        <v>127</v>
      </c>
      <c r="AC64" s="30" t="s">
        <v>89</v>
      </c>
      <c r="AD64" s="30" t="s">
        <v>141</v>
      </c>
      <c r="AE64" s="30" t="s">
        <v>82</v>
      </c>
      <c r="AF64" s="30" t="s">
        <v>51</v>
      </c>
      <c r="AG64" s="30" t="s">
        <v>51</v>
      </c>
      <c r="AH64" s="30" t="s">
        <v>52</v>
      </c>
      <c r="AI64" s="30" t="s">
        <v>52</v>
      </c>
      <c r="AJ64" s="30" t="s">
        <v>52</v>
      </c>
      <c r="AK64" s="30" t="s">
        <v>52</v>
      </c>
      <c r="AL64" s="30" t="s">
        <v>287</v>
      </c>
      <c r="AM64" s="30" t="s">
        <v>287</v>
      </c>
      <c r="AN64" s="30" t="s">
        <v>287</v>
      </c>
      <c r="AO64" s="30" t="s">
        <v>287</v>
      </c>
      <c r="AP64" s="30" t="s">
        <v>287</v>
      </c>
      <c r="AQ64" s="30" t="s">
        <v>287</v>
      </c>
      <c r="AR64" s="48" t="s">
        <v>52</v>
      </c>
      <c r="AS64" s="30" t="s">
        <v>52</v>
      </c>
      <c r="AT64" s="30" t="s">
        <v>51</v>
      </c>
      <c r="AU64" s="48" t="s">
        <v>90</v>
      </c>
      <c r="AV64" s="48" t="s">
        <v>68</v>
      </c>
      <c r="AW64" s="48">
        <v>1</v>
      </c>
      <c r="AX64" s="30" t="s">
        <v>287</v>
      </c>
      <c r="AY64" s="30" t="s">
        <v>287</v>
      </c>
    </row>
    <row r="65" spans="1:51" s="30" customFormat="1" ht="14" x14ac:dyDescent="0.2">
      <c r="A65" s="29">
        <v>37</v>
      </c>
      <c r="B65" s="29" t="s">
        <v>197</v>
      </c>
      <c r="C65" s="30" t="s">
        <v>193</v>
      </c>
      <c r="E65" s="31" t="s">
        <v>287</v>
      </c>
      <c r="H65" s="30" t="s">
        <v>52</v>
      </c>
      <c r="I65" s="30" t="s">
        <v>52</v>
      </c>
      <c r="J65" s="31">
        <v>45139</v>
      </c>
      <c r="K65" s="30" t="s">
        <v>52</v>
      </c>
      <c r="L65" s="32"/>
      <c r="M65" s="30" t="s">
        <v>52</v>
      </c>
      <c r="N65" s="32"/>
      <c r="O65" s="30" t="s">
        <v>51</v>
      </c>
      <c r="P65" s="30">
        <v>94</v>
      </c>
      <c r="Q65" s="30" t="s">
        <v>51</v>
      </c>
      <c r="R65" s="30">
        <v>0</v>
      </c>
      <c r="S65" s="30" t="s">
        <v>51</v>
      </c>
      <c r="T65" s="30" t="s">
        <v>185</v>
      </c>
      <c r="U65" s="30" t="s">
        <v>52</v>
      </c>
      <c r="V65" s="30" t="s">
        <v>52</v>
      </c>
      <c r="W65" s="30" t="s">
        <v>287</v>
      </c>
      <c r="X65" s="30" t="s">
        <v>52</v>
      </c>
      <c r="Y65" s="30" t="s">
        <v>287</v>
      </c>
      <c r="AA65" s="30" t="s">
        <v>51</v>
      </c>
      <c r="AB65" s="30" t="s">
        <v>127</v>
      </c>
      <c r="AC65" s="30" t="s">
        <v>89</v>
      </c>
      <c r="AD65" s="30" t="s">
        <v>141</v>
      </c>
      <c r="AE65" s="30" t="s">
        <v>82</v>
      </c>
      <c r="AF65" s="30" t="s">
        <v>51</v>
      </c>
      <c r="AG65" s="30" t="s">
        <v>51</v>
      </c>
      <c r="AH65" s="30" t="s">
        <v>52</v>
      </c>
      <c r="AI65" s="30" t="s">
        <v>52</v>
      </c>
      <c r="AJ65" s="30" t="s">
        <v>52</v>
      </c>
      <c r="AK65" s="30" t="s">
        <v>52</v>
      </c>
      <c r="AL65" s="30" t="s">
        <v>287</v>
      </c>
      <c r="AM65" s="30" t="s">
        <v>287</v>
      </c>
      <c r="AN65" s="30" t="s">
        <v>287</v>
      </c>
      <c r="AO65" s="30" t="s">
        <v>287</v>
      </c>
      <c r="AP65" s="30" t="s">
        <v>287</v>
      </c>
      <c r="AQ65" s="30" t="s">
        <v>287</v>
      </c>
      <c r="AR65" s="48" t="s">
        <v>52</v>
      </c>
      <c r="AS65" s="30" t="s">
        <v>52</v>
      </c>
      <c r="AT65" s="30" t="s">
        <v>51</v>
      </c>
      <c r="AU65" s="48" t="s">
        <v>90</v>
      </c>
      <c r="AV65" s="48" t="s">
        <v>68</v>
      </c>
      <c r="AW65" s="48">
        <v>1</v>
      </c>
      <c r="AX65" s="30" t="s">
        <v>287</v>
      </c>
      <c r="AY65" s="30" t="s">
        <v>287</v>
      </c>
    </row>
    <row r="66" spans="1:51" s="30" customFormat="1" ht="14" x14ac:dyDescent="0.2">
      <c r="A66" s="29">
        <v>37</v>
      </c>
      <c r="B66" s="29" t="s">
        <v>198</v>
      </c>
      <c r="C66" s="30" t="s">
        <v>193</v>
      </c>
      <c r="E66" s="31" t="s">
        <v>287</v>
      </c>
      <c r="H66" s="30" t="s">
        <v>52</v>
      </c>
      <c r="I66" s="30" t="s">
        <v>52</v>
      </c>
      <c r="J66" s="31">
        <v>45170</v>
      </c>
      <c r="K66" s="30" t="s">
        <v>52</v>
      </c>
      <c r="L66" s="32"/>
      <c r="M66" s="30" t="s">
        <v>52</v>
      </c>
      <c r="N66" s="32"/>
      <c r="O66" s="30" t="s">
        <v>51</v>
      </c>
      <c r="P66" s="30">
        <v>156</v>
      </c>
      <c r="Q66" s="30" t="s">
        <v>51</v>
      </c>
      <c r="R66" s="30">
        <v>0</v>
      </c>
      <c r="S66" s="30" t="s">
        <v>51</v>
      </c>
      <c r="T66" s="30" t="s">
        <v>185</v>
      </c>
      <c r="U66" s="30" t="s">
        <v>52</v>
      </c>
      <c r="V66" s="30" t="s">
        <v>52</v>
      </c>
      <c r="W66" s="30" t="s">
        <v>287</v>
      </c>
      <c r="X66" s="30" t="s">
        <v>52</v>
      </c>
      <c r="Y66" s="30" t="s">
        <v>287</v>
      </c>
      <c r="AA66" s="30" t="s">
        <v>51</v>
      </c>
      <c r="AB66" s="30" t="s">
        <v>127</v>
      </c>
      <c r="AC66" s="30" t="s">
        <v>89</v>
      </c>
      <c r="AD66" s="30" t="s">
        <v>141</v>
      </c>
      <c r="AE66" s="30" t="s">
        <v>82</v>
      </c>
      <c r="AF66" s="30" t="s">
        <v>51</v>
      </c>
      <c r="AG66" s="30" t="s">
        <v>51</v>
      </c>
      <c r="AH66" s="30" t="s">
        <v>52</v>
      </c>
      <c r="AI66" s="30" t="s">
        <v>52</v>
      </c>
      <c r="AJ66" s="30" t="s">
        <v>52</v>
      </c>
      <c r="AK66" s="30" t="s">
        <v>52</v>
      </c>
      <c r="AL66" s="30" t="s">
        <v>287</v>
      </c>
      <c r="AM66" s="30" t="s">
        <v>287</v>
      </c>
      <c r="AN66" s="30" t="s">
        <v>287</v>
      </c>
      <c r="AO66" s="30" t="s">
        <v>287</v>
      </c>
      <c r="AP66" s="30" t="s">
        <v>287</v>
      </c>
      <c r="AQ66" s="30" t="s">
        <v>287</v>
      </c>
      <c r="AR66" s="48" t="s">
        <v>52</v>
      </c>
      <c r="AS66" s="30" t="s">
        <v>52</v>
      </c>
      <c r="AT66" s="30" t="s">
        <v>51</v>
      </c>
      <c r="AU66" s="48" t="s">
        <v>90</v>
      </c>
      <c r="AV66" s="48" t="s">
        <v>68</v>
      </c>
      <c r="AW66" s="48">
        <v>1</v>
      </c>
      <c r="AX66" s="30" t="s">
        <v>287</v>
      </c>
      <c r="AY66" s="30" t="s">
        <v>287</v>
      </c>
    </row>
    <row r="67" spans="1:51" s="30" customFormat="1" ht="14" x14ac:dyDescent="0.2">
      <c r="A67" s="29">
        <v>37</v>
      </c>
      <c r="B67" s="29" t="s">
        <v>199</v>
      </c>
      <c r="C67" s="30" t="s">
        <v>193</v>
      </c>
      <c r="E67" s="31" t="s">
        <v>287</v>
      </c>
      <c r="H67" s="30" t="s">
        <v>52</v>
      </c>
      <c r="I67" s="30" t="s">
        <v>52</v>
      </c>
      <c r="J67" s="31">
        <v>45200</v>
      </c>
      <c r="K67" s="30" t="s">
        <v>52</v>
      </c>
      <c r="L67" s="32"/>
      <c r="M67" s="30" t="s">
        <v>52</v>
      </c>
      <c r="N67" s="32"/>
      <c r="O67" s="30" t="s">
        <v>51</v>
      </c>
      <c r="P67" s="30">
        <v>229</v>
      </c>
      <c r="Q67" s="30" t="s">
        <v>51</v>
      </c>
      <c r="R67" s="30">
        <v>1</v>
      </c>
      <c r="S67" s="30" t="s">
        <v>51</v>
      </c>
      <c r="T67" s="30" t="s">
        <v>185</v>
      </c>
      <c r="U67" s="30" t="s">
        <v>52</v>
      </c>
      <c r="V67" s="30" t="s">
        <v>52</v>
      </c>
      <c r="W67" s="30" t="s">
        <v>287</v>
      </c>
      <c r="X67" s="30" t="s">
        <v>52</v>
      </c>
      <c r="Y67" s="30" t="s">
        <v>287</v>
      </c>
      <c r="AA67" s="30" t="s">
        <v>51</v>
      </c>
      <c r="AB67" s="30" t="s">
        <v>127</v>
      </c>
      <c r="AC67" s="30" t="s">
        <v>89</v>
      </c>
      <c r="AD67" s="30" t="s">
        <v>141</v>
      </c>
      <c r="AE67" s="30" t="s">
        <v>82</v>
      </c>
      <c r="AF67" s="30" t="s">
        <v>51</v>
      </c>
      <c r="AG67" s="30" t="s">
        <v>51</v>
      </c>
      <c r="AH67" s="30" t="s">
        <v>52</v>
      </c>
      <c r="AI67" s="30" t="s">
        <v>52</v>
      </c>
      <c r="AJ67" s="30" t="s">
        <v>52</v>
      </c>
      <c r="AK67" s="30" t="s">
        <v>52</v>
      </c>
      <c r="AL67" s="30" t="s">
        <v>287</v>
      </c>
      <c r="AM67" s="30" t="s">
        <v>287</v>
      </c>
      <c r="AN67" s="30" t="s">
        <v>287</v>
      </c>
      <c r="AO67" s="30" t="s">
        <v>287</v>
      </c>
      <c r="AP67" s="30" t="s">
        <v>287</v>
      </c>
      <c r="AQ67" s="30" t="s">
        <v>287</v>
      </c>
      <c r="AR67" s="48" t="s">
        <v>52</v>
      </c>
      <c r="AS67" s="30" t="s">
        <v>52</v>
      </c>
      <c r="AT67" s="30" t="s">
        <v>51</v>
      </c>
      <c r="AU67" s="48" t="s">
        <v>90</v>
      </c>
      <c r="AV67" s="48" t="s">
        <v>68</v>
      </c>
      <c r="AW67" s="48">
        <v>1</v>
      </c>
      <c r="AX67" s="30" t="s">
        <v>287</v>
      </c>
      <c r="AY67" s="30" t="s">
        <v>287</v>
      </c>
    </row>
    <row r="68" spans="1:51" s="30" customFormat="1" ht="12.75" customHeight="1" x14ac:dyDescent="0.2">
      <c r="A68" s="29">
        <v>38</v>
      </c>
      <c r="B68" s="29" t="s">
        <v>217</v>
      </c>
      <c r="C68" s="30" t="s">
        <v>218</v>
      </c>
      <c r="D68" s="30" t="s">
        <v>219</v>
      </c>
      <c r="E68" s="31">
        <v>45427</v>
      </c>
      <c r="F68" s="30" t="s">
        <v>220</v>
      </c>
      <c r="G68" s="30">
        <v>1</v>
      </c>
      <c r="H68" s="30" t="s">
        <v>51</v>
      </c>
      <c r="I68" s="30" t="s">
        <v>51</v>
      </c>
      <c r="J68" s="31">
        <v>45212</v>
      </c>
      <c r="K68" s="30" t="s">
        <v>52</v>
      </c>
      <c r="L68" s="32"/>
      <c r="M68" s="30" t="s">
        <v>51</v>
      </c>
      <c r="N68" s="32">
        <v>6</v>
      </c>
      <c r="O68" s="30" t="s">
        <v>51</v>
      </c>
      <c r="P68" s="30">
        <v>1363</v>
      </c>
      <c r="Q68" s="30" t="s">
        <v>51</v>
      </c>
      <c r="R68" s="30">
        <v>3</v>
      </c>
      <c r="S68" s="30" t="s">
        <v>52</v>
      </c>
      <c r="U68" s="30" t="s">
        <v>287</v>
      </c>
      <c r="V68" s="30" t="s">
        <v>51</v>
      </c>
      <c r="W68" s="30" t="s">
        <v>221</v>
      </c>
      <c r="X68" s="30" t="s">
        <v>52</v>
      </c>
      <c r="Y68" s="30" t="s">
        <v>287</v>
      </c>
      <c r="Z68" s="30" t="s">
        <v>52</v>
      </c>
      <c r="AA68" s="30" t="s">
        <v>51</v>
      </c>
      <c r="AB68" s="30" t="s">
        <v>54</v>
      </c>
      <c r="AC68" s="30" t="s">
        <v>55</v>
      </c>
      <c r="AD68" s="30" t="s">
        <v>56</v>
      </c>
      <c r="AE68" s="30" t="s">
        <v>51</v>
      </c>
      <c r="AF68" s="30" t="s">
        <v>51</v>
      </c>
      <c r="AG68" s="30" t="s">
        <v>51</v>
      </c>
      <c r="AH68" s="30" t="s">
        <v>51</v>
      </c>
      <c r="AI68" s="30" t="s">
        <v>51</v>
      </c>
      <c r="AJ68" s="30" t="s">
        <v>51</v>
      </c>
      <c r="AK68" s="30" t="s">
        <v>51</v>
      </c>
      <c r="AL68" s="30" t="s">
        <v>51</v>
      </c>
      <c r="AM68" s="30" t="s">
        <v>51</v>
      </c>
      <c r="AN68" s="30" t="s">
        <v>51</v>
      </c>
      <c r="AO68" s="43" t="s">
        <v>287</v>
      </c>
      <c r="AP68" s="30" t="s">
        <v>57</v>
      </c>
      <c r="AQ68" s="30" t="s">
        <v>287</v>
      </c>
      <c r="AR68" s="30" t="s">
        <v>52</v>
      </c>
      <c r="AS68" s="30" t="s">
        <v>51</v>
      </c>
      <c r="AT68" s="30" t="s">
        <v>51</v>
      </c>
      <c r="AU68" s="30" t="s">
        <v>78</v>
      </c>
      <c r="AV68" s="43" t="s">
        <v>287</v>
      </c>
      <c r="AW68" s="43" t="s">
        <v>287</v>
      </c>
      <c r="AX68" s="30" t="s">
        <v>69</v>
      </c>
      <c r="AY68" s="30" t="s">
        <v>287</v>
      </c>
    </row>
    <row r="69" spans="1:51" s="30" customFormat="1" ht="14" x14ac:dyDescent="0.2">
      <c r="A69" s="29">
        <v>46</v>
      </c>
      <c r="B69" s="29" t="s">
        <v>222</v>
      </c>
      <c r="C69" s="30" t="s">
        <v>223</v>
      </c>
      <c r="E69" s="31">
        <v>45806</v>
      </c>
      <c r="H69" s="30" t="s">
        <v>52</v>
      </c>
      <c r="I69" s="30" t="s">
        <v>52</v>
      </c>
      <c r="J69" s="31">
        <v>45800</v>
      </c>
      <c r="K69" s="30" t="s">
        <v>51</v>
      </c>
      <c r="L69" s="48">
        <v>5496</v>
      </c>
      <c r="M69" s="30" t="s">
        <v>51</v>
      </c>
      <c r="N69" s="32">
        <v>276</v>
      </c>
      <c r="O69" s="30" t="s">
        <v>52</v>
      </c>
      <c r="Q69" s="30" t="s">
        <v>52</v>
      </c>
      <c r="S69" s="30" t="s">
        <v>51</v>
      </c>
      <c r="T69" s="30" t="s">
        <v>224</v>
      </c>
      <c r="U69" s="30" t="s">
        <v>52</v>
      </c>
      <c r="V69" s="30" t="s">
        <v>52</v>
      </c>
      <c r="W69" s="30" t="s">
        <v>287</v>
      </c>
      <c r="X69" s="30" t="s">
        <v>52</v>
      </c>
      <c r="Y69" s="30" t="s">
        <v>287</v>
      </c>
      <c r="Z69" s="30" t="s">
        <v>287</v>
      </c>
      <c r="AA69" s="30" t="s">
        <v>52</v>
      </c>
      <c r="AB69" s="30" t="s">
        <v>88</v>
      </c>
      <c r="AC69" s="30" t="s">
        <v>89</v>
      </c>
      <c r="AD69" s="30" t="s">
        <v>141</v>
      </c>
      <c r="AE69" s="30" t="s">
        <v>82</v>
      </c>
      <c r="AF69" s="30" t="s">
        <v>51</v>
      </c>
      <c r="AG69" s="30" t="s">
        <v>51</v>
      </c>
      <c r="AH69" s="30" t="s">
        <v>51</v>
      </c>
      <c r="AI69" s="30" t="s">
        <v>51</v>
      </c>
      <c r="AJ69" s="30" t="s">
        <v>82</v>
      </c>
      <c r="AK69" s="30" t="s">
        <v>51</v>
      </c>
      <c r="AL69" s="30" t="s">
        <v>52</v>
      </c>
      <c r="AM69" s="30" t="s">
        <v>51</v>
      </c>
      <c r="AN69" s="30" t="s">
        <v>51</v>
      </c>
      <c r="AO69" s="30" t="s">
        <v>287</v>
      </c>
      <c r="AP69" s="30" t="s">
        <v>52</v>
      </c>
      <c r="AQ69" s="30" t="s">
        <v>225</v>
      </c>
      <c r="AR69" s="30" t="s">
        <v>52</v>
      </c>
      <c r="AS69" s="30" t="s">
        <v>52</v>
      </c>
      <c r="AT69" s="30" t="s">
        <v>51</v>
      </c>
      <c r="AU69" s="30" t="s">
        <v>90</v>
      </c>
      <c r="AV69" s="30" t="s">
        <v>160</v>
      </c>
      <c r="AW69" s="30" t="s">
        <v>287</v>
      </c>
      <c r="AX69" s="30" t="s">
        <v>287</v>
      </c>
      <c r="AY69" s="30" t="s">
        <v>287</v>
      </c>
    </row>
    <row r="70" spans="1:51" s="30" customFormat="1" ht="15" customHeight="1" x14ac:dyDescent="0.2">
      <c r="A70" s="29">
        <v>49</v>
      </c>
      <c r="B70" s="29" t="s">
        <v>227</v>
      </c>
      <c r="C70" s="30" t="s">
        <v>226</v>
      </c>
      <c r="E70" s="31" t="s">
        <v>287</v>
      </c>
      <c r="H70" s="30" t="s">
        <v>52</v>
      </c>
      <c r="I70" s="30" t="s">
        <v>51</v>
      </c>
      <c r="J70" s="31">
        <v>45689</v>
      </c>
      <c r="K70" s="30" t="s">
        <v>52</v>
      </c>
      <c r="L70" s="32"/>
      <c r="M70" s="30" t="s">
        <v>52</v>
      </c>
      <c r="N70" s="32"/>
      <c r="O70" s="30" t="s">
        <v>52</v>
      </c>
      <c r="Q70" s="30" t="s">
        <v>51</v>
      </c>
      <c r="R70" s="30">
        <v>0</v>
      </c>
      <c r="S70" s="30" t="s">
        <v>51</v>
      </c>
      <c r="T70" s="36" t="s">
        <v>231</v>
      </c>
      <c r="U70" s="30" t="s">
        <v>52</v>
      </c>
      <c r="V70" s="30" t="s">
        <v>52</v>
      </c>
      <c r="W70" s="30" t="s">
        <v>287</v>
      </c>
      <c r="X70" s="30" t="s">
        <v>52</v>
      </c>
      <c r="Y70" s="30" t="s">
        <v>287</v>
      </c>
      <c r="Z70" s="30" t="s">
        <v>287</v>
      </c>
      <c r="AA70" s="30" t="s">
        <v>51</v>
      </c>
      <c r="AB70" s="30" t="s">
        <v>127</v>
      </c>
      <c r="AC70" s="30" t="s">
        <v>89</v>
      </c>
      <c r="AD70" s="30" t="s">
        <v>141</v>
      </c>
      <c r="AE70" s="30" t="s">
        <v>82</v>
      </c>
      <c r="AF70" s="30" t="s">
        <v>82</v>
      </c>
      <c r="AG70" s="30" t="s">
        <v>52</v>
      </c>
      <c r="AH70" s="30" t="s">
        <v>82</v>
      </c>
      <c r="AI70" s="30" t="s">
        <v>82</v>
      </c>
      <c r="AJ70" s="30" t="s">
        <v>82</v>
      </c>
      <c r="AK70" s="48" t="s">
        <v>52</v>
      </c>
      <c r="AL70" s="30" t="s">
        <v>287</v>
      </c>
      <c r="AM70" s="30" t="s">
        <v>287</v>
      </c>
      <c r="AN70" s="30" t="s">
        <v>287</v>
      </c>
      <c r="AO70" s="30" t="s">
        <v>287</v>
      </c>
      <c r="AP70" s="30" t="s">
        <v>287</v>
      </c>
      <c r="AQ70" s="30" t="s">
        <v>287</v>
      </c>
      <c r="AR70" s="30" t="s">
        <v>52</v>
      </c>
      <c r="AS70" s="30" t="s">
        <v>52</v>
      </c>
      <c r="AT70" s="30" t="s">
        <v>51</v>
      </c>
      <c r="AU70" s="30" t="s">
        <v>67</v>
      </c>
      <c r="AV70" s="30" t="s">
        <v>160</v>
      </c>
      <c r="AW70" s="30" t="s">
        <v>287</v>
      </c>
      <c r="AX70" s="30" t="s">
        <v>69</v>
      </c>
      <c r="AY70" s="30" t="s">
        <v>287</v>
      </c>
    </row>
    <row r="71" spans="1:51" s="30" customFormat="1" ht="14" x14ac:dyDescent="0.2">
      <c r="A71" s="29">
        <v>49</v>
      </c>
      <c r="B71" s="29" t="s">
        <v>228</v>
      </c>
      <c r="C71" s="30" t="s">
        <v>226</v>
      </c>
      <c r="E71" s="31" t="s">
        <v>287</v>
      </c>
      <c r="H71" s="30" t="s">
        <v>52</v>
      </c>
      <c r="I71" s="30" t="s">
        <v>51</v>
      </c>
      <c r="J71" s="31">
        <v>45717</v>
      </c>
      <c r="K71" s="30" t="s">
        <v>52</v>
      </c>
      <c r="L71" s="32"/>
      <c r="M71" s="30" t="s">
        <v>52</v>
      </c>
      <c r="N71" s="32"/>
      <c r="O71" s="30" t="s">
        <v>52</v>
      </c>
      <c r="Q71" s="30" t="s">
        <v>51</v>
      </c>
      <c r="R71" s="30">
        <v>0</v>
      </c>
      <c r="S71" s="30" t="s">
        <v>51</v>
      </c>
      <c r="T71" s="30" t="s">
        <v>231</v>
      </c>
      <c r="U71" s="30" t="s">
        <v>52</v>
      </c>
      <c r="V71" s="30" t="s">
        <v>52</v>
      </c>
      <c r="W71" s="30" t="s">
        <v>287</v>
      </c>
      <c r="X71" s="30" t="s">
        <v>52</v>
      </c>
      <c r="Y71" s="30" t="s">
        <v>287</v>
      </c>
      <c r="Z71" s="30" t="s">
        <v>287</v>
      </c>
      <c r="AA71" s="30" t="s">
        <v>51</v>
      </c>
      <c r="AB71" s="30" t="s">
        <v>127</v>
      </c>
      <c r="AC71" s="30" t="s">
        <v>89</v>
      </c>
      <c r="AD71" s="30" t="s">
        <v>141</v>
      </c>
      <c r="AE71" s="30" t="s">
        <v>82</v>
      </c>
      <c r="AF71" s="30" t="s">
        <v>82</v>
      </c>
      <c r="AG71" s="30" t="s">
        <v>52</v>
      </c>
      <c r="AH71" s="30" t="s">
        <v>82</v>
      </c>
      <c r="AI71" s="30" t="s">
        <v>82</v>
      </c>
      <c r="AJ71" s="30" t="s">
        <v>82</v>
      </c>
      <c r="AK71" s="48" t="s">
        <v>52</v>
      </c>
      <c r="AL71" s="30" t="s">
        <v>287</v>
      </c>
      <c r="AM71" s="30" t="s">
        <v>287</v>
      </c>
      <c r="AN71" s="30" t="s">
        <v>287</v>
      </c>
      <c r="AO71" s="30" t="s">
        <v>287</v>
      </c>
      <c r="AP71" s="30" t="s">
        <v>287</v>
      </c>
      <c r="AQ71" s="30" t="s">
        <v>287</v>
      </c>
      <c r="AR71" s="30" t="s">
        <v>52</v>
      </c>
      <c r="AS71" s="30" t="s">
        <v>52</v>
      </c>
      <c r="AT71" s="30" t="s">
        <v>51</v>
      </c>
      <c r="AU71" s="30" t="s">
        <v>67</v>
      </c>
      <c r="AV71" s="30" t="s">
        <v>160</v>
      </c>
      <c r="AW71" s="30" t="s">
        <v>287</v>
      </c>
      <c r="AX71" s="30" t="s">
        <v>69</v>
      </c>
      <c r="AY71" s="30" t="s">
        <v>287</v>
      </c>
    </row>
    <row r="72" spans="1:51" s="30" customFormat="1" ht="14" x14ac:dyDescent="0.2">
      <c r="A72" s="29">
        <v>49</v>
      </c>
      <c r="B72" s="29" t="s">
        <v>229</v>
      </c>
      <c r="C72" s="30" t="s">
        <v>226</v>
      </c>
      <c r="E72" s="31" t="s">
        <v>287</v>
      </c>
      <c r="H72" s="30" t="s">
        <v>52</v>
      </c>
      <c r="I72" s="30" t="s">
        <v>51</v>
      </c>
      <c r="J72" s="31">
        <v>45748</v>
      </c>
      <c r="K72" s="30" t="s">
        <v>52</v>
      </c>
      <c r="L72" s="32"/>
      <c r="M72" s="30" t="s">
        <v>52</v>
      </c>
      <c r="N72" s="32"/>
      <c r="O72" s="30" t="s">
        <v>52</v>
      </c>
      <c r="Q72" s="30" t="s">
        <v>51</v>
      </c>
      <c r="R72" s="30">
        <v>0</v>
      </c>
      <c r="S72" s="30" t="s">
        <v>51</v>
      </c>
      <c r="T72" s="30" t="s">
        <v>231</v>
      </c>
      <c r="U72" s="30" t="s">
        <v>52</v>
      </c>
      <c r="V72" s="30" t="s">
        <v>52</v>
      </c>
      <c r="W72" s="30" t="s">
        <v>287</v>
      </c>
      <c r="X72" s="30" t="s">
        <v>52</v>
      </c>
      <c r="Y72" s="30" t="s">
        <v>287</v>
      </c>
      <c r="Z72" s="30" t="s">
        <v>287</v>
      </c>
      <c r="AA72" s="30" t="s">
        <v>51</v>
      </c>
      <c r="AB72" s="30" t="s">
        <v>127</v>
      </c>
      <c r="AC72" s="30" t="s">
        <v>89</v>
      </c>
      <c r="AD72" s="30" t="s">
        <v>141</v>
      </c>
      <c r="AE72" s="30" t="s">
        <v>82</v>
      </c>
      <c r="AF72" s="30" t="s">
        <v>82</v>
      </c>
      <c r="AG72" s="30" t="s">
        <v>52</v>
      </c>
      <c r="AH72" s="30" t="s">
        <v>82</v>
      </c>
      <c r="AI72" s="30" t="s">
        <v>82</v>
      </c>
      <c r="AJ72" s="30" t="s">
        <v>82</v>
      </c>
      <c r="AK72" s="48" t="s">
        <v>52</v>
      </c>
      <c r="AL72" s="30" t="s">
        <v>287</v>
      </c>
      <c r="AM72" s="30" t="s">
        <v>287</v>
      </c>
      <c r="AN72" s="30" t="s">
        <v>287</v>
      </c>
      <c r="AO72" s="30" t="s">
        <v>287</v>
      </c>
      <c r="AP72" s="30" t="s">
        <v>287</v>
      </c>
      <c r="AQ72" s="30" t="s">
        <v>287</v>
      </c>
      <c r="AR72" s="30" t="s">
        <v>52</v>
      </c>
      <c r="AS72" s="30" t="s">
        <v>52</v>
      </c>
      <c r="AT72" s="30" t="s">
        <v>51</v>
      </c>
      <c r="AU72" s="30" t="s">
        <v>67</v>
      </c>
      <c r="AV72" s="30" t="s">
        <v>160</v>
      </c>
      <c r="AW72" s="30" t="s">
        <v>287</v>
      </c>
      <c r="AX72" s="30" t="s">
        <v>69</v>
      </c>
      <c r="AY72" s="30" t="s">
        <v>287</v>
      </c>
    </row>
    <row r="73" spans="1:51" s="30" customFormat="1" ht="15" customHeight="1" x14ac:dyDescent="0.2">
      <c r="A73" s="29">
        <v>49</v>
      </c>
      <c r="B73" s="29" t="s">
        <v>230</v>
      </c>
      <c r="C73" s="30" t="s">
        <v>226</v>
      </c>
      <c r="E73" s="31" t="s">
        <v>287</v>
      </c>
      <c r="H73" s="30" t="s">
        <v>52</v>
      </c>
      <c r="I73" s="30" t="s">
        <v>51</v>
      </c>
      <c r="J73" s="31">
        <v>45778</v>
      </c>
      <c r="K73" s="30" t="s">
        <v>52</v>
      </c>
      <c r="L73" s="32"/>
      <c r="M73" s="30" t="s">
        <v>52</v>
      </c>
      <c r="N73" s="32"/>
      <c r="O73" s="30" t="s">
        <v>52</v>
      </c>
      <c r="Q73" s="30" t="s">
        <v>51</v>
      </c>
      <c r="R73" s="30">
        <v>1</v>
      </c>
      <c r="S73" s="30" t="s">
        <v>51</v>
      </c>
      <c r="T73" s="30" t="s">
        <v>231</v>
      </c>
      <c r="U73" s="30" t="s">
        <v>52</v>
      </c>
      <c r="V73" s="30" t="s">
        <v>52</v>
      </c>
      <c r="W73" s="30" t="s">
        <v>287</v>
      </c>
      <c r="X73" s="30" t="s">
        <v>52</v>
      </c>
      <c r="Y73" s="30" t="s">
        <v>287</v>
      </c>
      <c r="Z73" s="30" t="s">
        <v>287</v>
      </c>
      <c r="AA73" s="30" t="s">
        <v>51</v>
      </c>
      <c r="AB73" s="30" t="s">
        <v>127</v>
      </c>
      <c r="AC73" s="30" t="s">
        <v>89</v>
      </c>
      <c r="AD73" s="30" t="s">
        <v>141</v>
      </c>
      <c r="AE73" s="30" t="s">
        <v>82</v>
      </c>
      <c r="AF73" s="30" t="s">
        <v>82</v>
      </c>
      <c r="AG73" s="30" t="s">
        <v>52</v>
      </c>
      <c r="AH73" s="30" t="s">
        <v>82</v>
      </c>
      <c r="AI73" s="30" t="s">
        <v>82</v>
      </c>
      <c r="AJ73" s="30" t="s">
        <v>82</v>
      </c>
      <c r="AK73" s="48" t="s">
        <v>52</v>
      </c>
      <c r="AL73" s="30" t="s">
        <v>287</v>
      </c>
      <c r="AM73" s="30" t="s">
        <v>287</v>
      </c>
      <c r="AN73" s="30" t="s">
        <v>287</v>
      </c>
      <c r="AO73" s="30" t="s">
        <v>287</v>
      </c>
      <c r="AP73" s="30" t="s">
        <v>287</v>
      </c>
      <c r="AQ73" s="30" t="s">
        <v>287</v>
      </c>
      <c r="AR73" s="30" t="s">
        <v>52</v>
      </c>
      <c r="AS73" s="30" t="s">
        <v>52</v>
      </c>
      <c r="AT73" s="30" t="s">
        <v>51</v>
      </c>
      <c r="AU73" s="30" t="s">
        <v>67</v>
      </c>
      <c r="AV73" s="30" t="s">
        <v>160</v>
      </c>
      <c r="AW73" s="30" t="s">
        <v>287</v>
      </c>
      <c r="AX73" s="30" t="s">
        <v>69</v>
      </c>
      <c r="AY73" s="30" t="s">
        <v>287</v>
      </c>
    </row>
    <row r="74" spans="1:51" s="30" customFormat="1" ht="14" x14ac:dyDescent="0.2">
      <c r="A74" s="29">
        <v>50</v>
      </c>
      <c r="B74" s="29" t="s">
        <v>232</v>
      </c>
      <c r="C74" s="30" t="s">
        <v>235</v>
      </c>
      <c r="D74" s="30" t="s">
        <v>236</v>
      </c>
      <c r="E74" s="31">
        <v>44636</v>
      </c>
      <c r="F74" s="30" t="s">
        <v>239</v>
      </c>
      <c r="G74" s="30">
        <v>2</v>
      </c>
      <c r="H74" s="30" t="s">
        <v>51</v>
      </c>
      <c r="I74" s="30" t="s">
        <v>51</v>
      </c>
      <c r="J74" s="31">
        <v>44362</v>
      </c>
      <c r="K74" s="30" t="s">
        <v>52</v>
      </c>
      <c r="L74" s="32"/>
      <c r="M74" s="30" t="s">
        <v>51</v>
      </c>
      <c r="N74" s="32">
        <v>60</v>
      </c>
      <c r="O74" s="30" t="s">
        <v>51</v>
      </c>
      <c r="P74" s="30">
        <v>1423</v>
      </c>
      <c r="Q74" s="30" t="s">
        <v>51</v>
      </c>
      <c r="R74" s="30">
        <v>21</v>
      </c>
      <c r="S74" s="30" t="s">
        <v>52</v>
      </c>
      <c r="U74" s="30" t="s">
        <v>287</v>
      </c>
      <c r="V74" s="30" t="s">
        <v>51</v>
      </c>
      <c r="W74" s="30" t="s">
        <v>243</v>
      </c>
      <c r="X74" s="30" t="s">
        <v>52</v>
      </c>
      <c r="Y74" s="30" t="s">
        <v>287</v>
      </c>
      <c r="Z74" s="30" t="s">
        <v>51</v>
      </c>
      <c r="AA74" s="30" t="s">
        <v>51</v>
      </c>
      <c r="AB74" s="30" t="s">
        <v>54</v>
      </c>
      <c r="AC74" s="30" t="s">
        <v>55</v>
      </c>
      <c r="AD74" s="30" t="s">
        <v>56</v>
      </c>
      <c r="AE74" s="30" t="s">
        <v>51</v>
      </c>
      <c r="AF74" s="30" t="s">
        <v>51</v>
      </c>
      <c r="AG74" s="30" t="s">
        <v>51</v>
      </c>
      <c r="AH74" s="30" t="s">
        <v>51</v>
      </c>
      <c r="AI74" s="30" t="s">
        <v>51</v>
      </c>
      <c r="AJ74" s="30" t="s">
        <v>51</v>
      </c>
      <c r="AK74" s="30" t="s">
        <v>51</v>
      </c>
      <c r="AL74" s="30" t="s">
        <v>51</v>
      </c>
      <c r="AM74" s="30" t="s">
        <v>51</v>
      </c>
      <c r="AN74" s="30" t="s">
        <v>52</v>
      </c>
      <c r="AO74" s="30" t="s">
        <v>287</v>
      </c>
      <c r="AP74" s="30" t="s">
        <v>57</v>
      </c>
      <c r="AQ74" s="30" t="s">
        <v>287</v>
      </c>
      <c r="AR74" s="30" t="s">
        <v>52</v>
      </c>
      <c r="AS74" s="30" t="s">
        <v>51</v>
      </c>
      <c r="AT74" s="30" t="s">
        <v>52</v>
      </c>
      <c r="AU74" s="35" t="s">
        <v>287</v>
      </c>
      <c r="AV74" s="35" t="s">
        <v>287</v>
      </c>
      <c r="AW74" s="35" t="s">
        <v>287</v>
      </c>
      <c r="AX74" s="35" t="s">
        <v>287</v>
      </c>
      <c r="AY74" s="35" t="s">
        <v>287</v>
      </c>
    </row>
    <row r="75" spans="1:51" s="30" customFormat="1" ht="15" customHeight="1" x14ac:dyDescent="0.2">
      <c r="A75" s="29">
        <v>50</v>
      </c>
      <c r="B75" s="29" t="s">
        <v>244</v>
      </c>
      <c r="C75" s="30" t="s">
        <v>237</v>
      </c>
      <c r="D75" s="30" t="s">
        <v>236</v>
      </c>
      <c r="E75" s="31">
        <v>45212</v>
      </c>
      <c r="F75" s="30" t="s">
        <v>240</v>
      </c>
      <c r="G75" s="30">
        <v>4</v>
      </c>
      <c r="H75" s="30" t="s">
        <v>51</v>
      </c>
      <c r="I75" s="30" t="s">
        <v>51</v>
      </c>
      <c r="J75" s="31">
        <v>44986</v>
      </c>
      <c r="K75" s="30" t="s">
        <v>52</v>
      </c>
      <c r="M75" s="30" t="s">
        <v>51</v>
      </c>
      <c r="N75" s="30">
        <v>83</v>
      </c>
      <c r="O75" s="30" t="s">
        <v>51</v>
      </c>
      <c r="P75" s="30">
        <v>1959</v>
      </c>
      <c r="Q75" s="30" t="s">
        <v>51</v>
      </c>
      <c r="R75" s="30">
        <v>23</v>
      </c>
      <c r="S75" s="30" t="s">
        <v>52</v>
      </c>
      <c r="U75" s="30" t="s">
        <v>287</v>
      </c>
      <c r="V75" s="30" t="s">
        <v>51</v>
      </c>
      <c r="W75" s="30" t="s">
        <v>242</v>
      </c>
      <c r="X75" s="30" t="s">
        <v>52</v>
      </c>
      <c r="Y75" s="30" t="s">
        <v>287</v>
      </c>
      <c r="Z75" s="30" t="s">
        <v>51</v>
      </c>
      <c r="AA75" s="30" t="s">
        <v>51</v>
      </c>
      <c r="AB75" s="30" t="s">
        <v>54</v>
      </c>
      <c r="AC75" s="30" t="s">
        <v>55</v>
      </c>
      <c r="AD75" s="30" t="s">
        <v>56</v>
      </c>
      <c r="AE75" s="30" t="s">
        <v>51</v>
      </c>
      <c r="AF75" s="30" t="s">
        <v>51</v>
      </c>
      <c r="AG75" s="30" t="s">
        <v>51</v>
      </c>
      <c r="AH75" s="30" t="s">
        <v>51</v>
      </c>
      <c r="AI75" s="30" t="s">
        <v>52</v>
      </c>
      <c r="AJ75" s="30" t="s">
        <v>51</v>
      </c>
      <c r="AK75" s="30" t="s">
        <v>51</v>
      </c>
      <c r="AL75" s="30" t="s">
        <v>51</v>
      </c>
      <c r="AM75" s="30" t="s">
        <v>51</v>
      </c>
      <c r="AN75" s="30" t="s">
        <v>52</v>
      </c>
      <c r="AO75" s="30" t="s">
        <v>287</v>
      </c>
      <c r="AP75" s="30" t="s">
        <v>57</v>
      </c>
      <c r="AQ75" s="30" t="s">
        <v>287</v>
      </c>
      <c r="AR75" s="30" t="s">
        <v>52</v>
      </c>
      <c r="AS75" s="30" t="s">
        <v>51</v>
      </c>
      <c r="AT75" s="30" t="s">
        <v>52</v>
      </c>
      <c r="AU75" s="35" t="s">
        <v>287</v>
      </c>
      <c r="AV75" s="35" t="s">
        <v>287</v>
      </c>
      <c r="AW75" s="35" t="s">
        <v>287</v>
      </c>
      <c r="AX75" s="35" t="s">
        <v>287</v>
      </c>
      <c r="AY75" s="35" t="s">
        <v>287</v>
      </c>
    </row>
    <row r="76" spans="1:51" s="30" customFormat="1" ht="14" x14ac:dyDescent="0.2">
      <c r="A76" s="29">
        <v>50</v>
      </c>
      <c r="B76" s="29" t="s">
        <v>245</v>
      </c>
      <c r="C76" s="30" t="s">
        <v>238</v>
      </c>
      <c r="D76" s="30" t="s">
        <v>236</v>
      </c>
      <c r="E76" s="31">
        <v>45490</v>
      </c>
      <c r="F76" s="30" t="s">
        <v>241</v>
      </c>
      <c r="G76" s="30">
        <v>6</v>
      </c>
      <c r="H76" s="30" t="s">
        <v>51</v>
      </c>
      <c r="I76" s="30" t="s">
        <v>51</v>
      </c>
      <c r="J76" s="31">
        <v>45342</v>
      </c>
      <c r="K76" s="30" t="s">
        <v>52</v>
      </c>
      <c r="M76" s="30" t="s">
        <v>51</v>
      </c>
      <c r="N76" s="30">
        <v>97</v>
      </c>
      <c r="O76" s="30" t="s">
        <v>51</v>
      </c>
      <c r="P76" s="30">
        <v>763</v>
      </c>
      <c r="Q76" s="30" t="s">
        <v>51</v>
      </c>
      <c r="R76" s="30">
        <v>14</v>
      </c>
      <c r="S76" s="30" t="s">
        <v>52</v>
      </c>
      <c r="U76" s="30" t="s">
        <v>287</v>
      </c>
      <c r="V76" s="30" t="s">
        <v>51</v>
      </c>
      <c r="W76" s="30" t="s">
        <v>243</v>
      </c>
      <c r="X76" s="30" t="s">
        <v>52</v>
      </c>
      <c r="Y76" s="30" t="s">
        <v>287</v>
      </c>
      <c r="Z76" s="30" t="s">
        <v>51</v>
      </c>
      <c r="AA76" s="30" t="s">
        <v>51</v>
      </c>
      <c r="AB76" s="30" t="s">
        <v>54</v>
      </c>
      <c r="AC76" s="30" t="s">
        <v>55</v>
      </c>
      <c r="AD76" s="30" t="s">
        <v>56</v>
      </c>
      <c r="AE76" s="30" t="s">
        <v>51</v>
      </c>
      <c r="AF76" s="30" t="s">
        <v>51</v>
      </c>
      <c r="AG76" s="30" t="s">
        <v>51</v>
      </c>
      <c r="AH76" s="30" t="s">
        <v>51</v>
      </c>
      <c r="AI76" s="30" t="s">
        <v>51</v>
      </c>
      <c r="AJ76" s="30" t="s">
        <v>51</v>
      </c>
      <c r="AK76" s="30" t="s">
        <v>51</v>
      </c>
      <c r="AL76" s="30" t="s">
        <v>51</v>
      </c>
      <c r="AM76" s="30" t="s">
        <v>51</v>
      </c>
      <c r="AN76" s="30" t="s">
        <v>52</v>
      </c>
      <c r="AO76" s="30" t="s">
        <v>287</v>
      </c>
      <c r="AP76" s="30" t="s">
        <v>57</v>
      </c>
      <c r="AQ76" s="30" t="s">
        <v>287</v>
      </c>
      <c r="AR76" s="30" t="s">
        <v>52</v>
      </c>
      <c r="AS76" s="30" t="s">
        <v>51</v>
      </c>
      <c r="AT76" s="30" t="s">
        <v>52</v>
      </c>
      <c r="AU76" s="35" t="s">
        <v>287</v>
      </c>
      <c r="AV76" s="35" t="s">
        <v>287</v>
      </c>
      <c r="AW76" s="35" t="s">
        <v>287</v>
      </c>
      <c r="AX76" s="35" t="s">
        <v>287</v>
      </c>
      <c r="AY76" s="35" t="s">
        <v>287</v>
      </c>
    </row>
    <row r="77" spans="1:51" s="30" customFormat="1" x14ac:dyDescent="0.2">
      <c r="A77" s="29">
        <v>50</v>
      </c>
      <c r="B77" s="29" t="s">
        <v>246</v>
      </c>
      <c r="C77" s="30" t="s">
        <v>233</v>
      </c>
      <c r="E77" s="31" t="s">
        <v>287</v>
      </c>
      <c r="G77" s="30">
        <v>1</v>
      </c>
      <c r="H77" s="30" t="s">
        <v>51</v>
      </c>
      <c r="I77" s="30" t="s">
        <v>51</v>
      </c>
      <c r="J77" s="31">
        <v>44105</v>
      </c>
      <c r="K77" s="30" t="s">
        <v>52</v>
      </c>
      <c r="L77" s="32"/>
      <c r="M77" s="30" t="s">
        <v>51</v>
      </c>
      <c r="N77" s="32">
        <v>50</v>
      </c>
      <c r="O77" s="30" t="s">
        <v>51</v>
      </c>
      <c r="P77" s="30">
        <v>872</v>
      </c>
      <c r="Q77" s="30" t="s">
        <v>51</v>
      </c>
      <c r="R77" s="30">
        <v>11</v>
      </c>
      <c r="S77" s="30" t="s">
        <v>51</v>
      </c>
      <c r="T77" s="36" t="s">
        <v>234</v>
      </c>
      <c r="U77" s="30" t="s">
        <v>51</v>
      </c>
      <c r="V77" s="30" t="s">
        <v>52</v>
      </c>
      <c r="X77" s="30" t="s">
        <v>52</v>
      </c>
      <c r="Y77" s="30" t="s">
        <v>287</v>
      </c>
      <c r="AA77" s="30" t="s">
        <v>51</v>
      </c>
      <c r="AB77" s="30" t="s">
        <v>88</v>
      </c>
      <c r="AC77" s="30" t="s">
        <v>89</v>
      </c>
      <c r="AD77" s="30" t="s">
        <v>56</v>
      </c>
      <c r="AE77" s="30" t="s">
        <v>51</v>
      </c>
      <c r="AF77" s="30" t="s">
        <v>51</v>
      </c>
      <c r="AG77" s="30" t="s">
        <v>51</v>
      </c>
      <c r="AH77" s="30" t="s">
        <v>51</v>
      </c>
      <c r="AI77" s="30" t="s">
        <v>51</v>
      </c>
      <c r="AJ77" s="30" t="s">
        <v>51</v>
      </c>
      <c r="AK77" s="30" t="s">
        <v>52</v>
      </c>
      <c r="AL77" s="30" t="s">
        <v>287</v>
      </c>
      <c r="AM77" s="30" t="s">
        <v>287</v>
      </c>
      <c r="AN77" s="30" t="s">
        <v>287</v>
      </c>
      <c r="AO77" s="30" t="s">
        <v>287</v>
      </c>
      <c r="AP77" s="30" t="s">
        <v>287</v>
      </c>
      <c r="AQ77" s="30" t="s">
        <v>287</v>
      </c>
      <c r="AR77" s="30" t="s">
        <v>52</v>
      </c>
      <c r="AS77" s="30" t="s">
        <v>51</v>
      </c>
      <c r="AT77" s="30" t="s">
        <v>52</v>
      </c>
      <c r="AU77" s="35" t="s">
        <v>287</v>
      </c>
      <c r="AV77" s="35" t="s">
        <v>287</v>
      </c>
      <c r="AW77" s="35" t="s">
        <v>287</v>
      </c>
      <c r="AX77" s="35" t="s">
        <v>287</v>
      </c>
      <c r="AY77" s="35" t="s">
        <v>287</v>
      </c>
    </row>
    <row r="78" spans="1:51" s="30" customFormat="1" ht="12.75" customHeight="1" x14ac:dyDescent="0.2">
      <c r="A78" s="29">
        <v>50</v>
      </c>
      <c r="B78" s="29" t="s">
        <v>247</v>
      </c>
      <c r="C78" s="30" t="s">
        <v>233</v>
      </c>
      <c r="E78" s="31" t="s">
        <v>287</v>
      </c>
      <c r="G78" s="30">
        <v>3</v>
      </c>
      <c r="H78" s="30" t="s">
        <v>51</v>
      </c>
      <c r="I78" s="30" t="s">
        <v>51</v>
      </c>
      <c r="J78" s="31">
        <v>44872</v>
      </c>
      <c r="K78" s="30" t="s">
        <v>52</v>
      </c>
      <c r="L78" s="32"/>
      <c r="M78" s="30" t="s">
        <v>51</v>
      </c>
      <c r="N78" s="32">
        <v>78</v>
      </c>
      <c r="O78" s="30" t="s">
        <v>51</v>
      </c>
      <c r="P78" s="30">
        <v>1178</v>
      </c>
      <c r="Q78" s="30" t="s">
        <v>51</v>
      </c>
      <c r="R78" s="30">
        <v>18</v>
      </c>
      <c r="S78" s="30" t="s">
        <v>51</v>
      </c>
      <c r="T78" s="30" t="s">
        <v>234</v>
      </c>
      <c r="U78" s="30" t="s">
        <v>51</v>
      </c>
      <c r="V78" s="30" t="s">
        <v>52</v>
      </c>
      <c r="X78" s="30" t="s">
        <v>52</v>
      </c>
      <c r="Y78" s="30" t="s">
        <v>287</v>
      </c>
      <c r="AA78" s="30" t="s">
        <v>51</v>
      </c>
      <c r="AB78" s="30" t="s">
        <v>88</v>
      </c>
      <c r="AC78" s="30" t="s">
        <v>89</v>
      </c>
      <c r="AD78" s="30" t="s">
        <v>56</v>
      </c>
      <c r="AE78" s="30" t="s">
        <v>51</v>
      </c>
      <c r="AF78" s="30" t="s">
        <v>51</v>
      </c>
      <c r="AG78" s="30" t="s">
        <v>51</v>
      </c>
      <c r="AH78" s="30" t="s">
        <v>51</v>
      </c>
      <c r="AI78" s="30" t="s">
        <v>51</v>
      </c>
      <c r="AJ78" s="30" t="s">
        <v>51</v>
      </c>
      <c r="AK78" s="30" t="s">
        <v>52</v>
      </c>
      <c r="AL78" s="30" t="s">
        <v>287</v>
      </c>
      <c r="AM78" s="30" t="s">
        <v>287</v>
      </c>
      <c r="AN78" s="30" t="s">
        <v>287</v>
      </c>
      <c r="AO78" s="30" t="s">
        <v>287</v>
      </c>
      <c r="AP78" s="30" t="s">
        <v>287</v>
      </c>
      <c r="AQ78" s="30" t="s">
        <v>287</v>
      </c>
      <c r="AR78" s="30" t="s">
        <v>52</v>
      </c>
      <c r="AS78" s="30" t="s">
        <v>51</v>
      </c>
      <c r="AT78" s="30" t="s">
        <v>52</v>
      </c>
      <c r="AU78" s="35" t="s">
        <v>287</v>
      </c>
      <c r="AV78" s="35" t="s">
        <v>287</v>
      </c>
      <c r="AW78" s="35" t="s">
        <v>287</v>
      </c>
      <c r="AX78" s="35" t="s">
        <v>287</v>
      </c>
      <c r="AY78" s="35" t="s">
        <v>287</v>
      </c>
    </row>
    <row r="79" spans="1:51" s="30" customFormat="1" ht="15" customHeight="1" x14ac:dyDescent="0.2">
      <c r="A79" s="29">
        <v>50</v>
      </c>
      <c r="B79" s="29" t="s">
        <v>248</v>
      </c>
      <c r="C79" s="30" t="s">
        <v>233</v>
      </c>
      <c r="E79" s="31" t="s">
        <v>287</v>
      </c>
      <c r="G79" s="30">
        <v>5</v>
      </c>
      <c r="H79" s="30" t="s">
        <v>51</v>
      </c>
      <c r="I79" s="30" t="s">
        <v>51</v>
      </c>
      <c r="J79" s="31">
        <v>45113</v>
      </c>
      <c r="K79" s="30" t="s">
        <v>52</v>
      </c>
      <c r="L79" s="32"/>
      <c r="M79" s="30" t="s">
        <v>51</v>
      </c>
      <c r="N79" s="32">
        <v>86</v>
      </c>
      <c r="O79" s="30" t="s">
        <v>51</v>
      </c>
      <c r="P79" s="30">
        <v>2349</v>
      </c>
      <c r="Q79" s="30" t="s">
        <v>52</v>
      </c>
      <c r="S79" s="30" t="s">
        <v>51</v>
      </c>
      <c r="T79" s="30" t="s">
        <v>234</v>
      </c>
      <c r="U79" s="30" t="s">
        <v>51</v>
      </c>
      <c r="V79" s="30" t="s">
        <v>52</v>
      </c>
      <c r="X79" s="30" t="s">
        <v>52</v>
      </c>
      <c r="Y79" s="30" t="s">
        <v>287</v>
      </c>
      <c r="AA79" s="30" t="s">
        <v>51</v>
      </c>
      <c r="AB79" s="30" t="s">
        <v>88</v>
      </c>
      <c r="AC79" s="30" t="s">
        <v>89</v>
      </c>
      <c r="AD79" s="30" t="s">
        <v>56</v>
      </c>
      <c r="AE79" s="30" t="s">
        <v>51</v>
      </c>
      <c r="AF79" s="30" t="s">
        <v>51</v>
      </c>
      <c r="AG79" s="30" t="s">
        <v>51</v>
      </c>
      <c r="AH79" s="30" t="s">
        <v>51</v>
      </c>
      <c r="AI79" s="30" t="s">
        <v>51</v>
      </c>
      <c r="AJ79" s="30" t="s">
        <v>51</v>
      </c>
      <c r="AK79" s="30" t="s">
        <v>52</v>
      </c>
      <c r="AL79" s="30" t="s">
        <v>287</v>
      </c>
      <c r="AM79" s="30" t="s">
        <v>287</v>
      </c>
      <c r="AN79" s="30" t="s">
        <v>287</v>
      </c>
      <c r="AO79" s="30" t="s">
        <v>287</v>
      </c>
      <c r="AP79" s="30" t="s">
        <v>287</v>
      </c>
      <c r="AQ79" s="30" t="s">
        <v>287</v>
      </c>
      <c r="AR79" s="30" t="s">
        <v>52</v>
      </c>
      <c r="AS79" s="30" t="s">
        <v>51</v>
      </c>
      <c r="AT79" s="30" t="s">
        <v>52</v>
      </c>
      <c r="AU79" s="35" t="s">
        <v>287</v>
      </c>
      <c r="AV79" s="35" t="s">
        <v>287</v>
      </c>
      <c r="AW79" s="35" t="s">
        <v>287</v>
      </c>
      <c r="AX79" s="35" t="s">
        <v>287</v>
      </c>
      <c r="AY79" s="35" t="s">
        <v>287</v>
      </c>
    </row>
    <row r="80" spans="1:51" s="30" customFormat="1" ht="14" x14ac:dyDescent="0.2">
      <c r="A80" s="29">
        <v>50</v>
      </c>
      <c r="B80" s="29" t="s">
        <v>249</v>
      </c>
      <c r="C80" s="30" t="s">
        <v>233</v>
      </c>
      <c r="E80" s="31">
        <v>45597</v>
      </c>
      <c r="G80" s="30">
        <v>7</v>
      </c>
      <c r="H80" s="30" t="s">
        <v>51</v>
      </c>
      <c r="I80" s="30" t="s">
        <v>51</v>
      </c>
      <c r="J80" s="31">
        <v>45597</v>
      </c>
      <c r="K80" s="30" t="s">
        <v>52</v>
      </c>
      <c r="L80" s="32"/>
      <c r="M80" s="30" t="s">
        <v>51</v>
      </c>
      <c r="N80" s="32">
        <v>111</v>
      </c>
      <c r="O80" s="30" t="s">
        <v>51</v>
      </c>
      <c r="P80" s="30">
        <v>1202</v>
      </c>
      <c r="Q80" s="30" t="s">
        <v>52</v>
      </c>
      <c r="R80" s="37"/>
      <c r="S80" s="30" t="s">
        <v>51</v>
      </c>
      <c r="T80" s="30" t="s">
        <v>234</v>
      </c>
      <c r="U80" s="30" t="s">
        <v>51</v>
      </c>
      <c r="V80" s="30" t="s">
        <v>52</v>
      </c>
      <c r="X80" s="30" t="s">
        <v>52</v>
      </c>
      <c r="Y80" s="30" t="s">
        <v>287</v>
      </c>
      <c r="AA80" s="30" t="s">
        <v>51</v>
      </c>
      <c r="AB80" s="30" t="s">
        <v>88</v>
      </c>
      <c r="AC80" s="30" t="s">
        <v>89</v>
      </c>
      <c r="AD80" s="30" t="s">
        <v>56</v>
      </c>
      <c r="AE80" s="30" t="s">
        <v>51</v>
      </c>
      <c r="AF80" s="30" t="s">
        <v>51</v>
      </c>
      <c r="AG80" s="30" t="s">
        <v>51</v>
      </c>
      <c r="AH80" s="30" t="s">
        <v>51</v>
      </c>
      <c r="AI80" s="30" t="s">
        <v>51</v>
      </c>
      <c r="AJ80" s="30" t="s">
        <v>51</v>
      </c>
      <c r="AK80" s="30" t="s">
        <v>52</v>
      </c>
      <c r="AL80" s="30" t="s">
        <v>287</v>
      </c>
      <c r="AM80" s="30" t="s">
        <v>287</v>
      </c>
      <c r="AN80" s="30" t="s">
        <v>287</v>
      </c>
      <c r="AO80" s="30" t="s">
        <v>287</v>
      </c>
      <c r="AP80" s="30" t="s">
        <v>287</v>
      </c>
      <c r="AQ80" s="30" t="s">
        <v>287</v>
      </c>
      <c r="AR80" s="30" t="s">
        <v>52</v>
      </c>
      <c r="AS80" s="30" t="s">
        <v>51</v>
      </c>
      <c r="AT80" s="30" t="s">
        <v>52</v>
      </c>
      <c r="AU80" s="35" t="s">
        <v>287</v>
      </c>
      <c r="AV80" s="35" t="s">
        <v>287</v>
      </c>
      <c r="AW80" s="35" t="s">
        <v>287</v>
      </c>
      <c r="AX80" s="35" t="s">
        <v>287</v>
      </c>
      <c r="AY80" s="35" t="s">
        <v>287</v>
      </c>
    </row>
    <row r="81" spans="1:51" s="30" customFormat="1" ht="15" customHeight="1" x14ac:dyDescent="0.2">
      <c r="A81" s="49">
        <v>51</v>
      </c>
      <c r="B81" s="49" t="s">
        <v>250</v>
      </c>
      <c r="C81" s="30" t="s">
        <v>251</v>
      </c>
      <c r="D81" s="30" t="s">
        <v>256</v>
      </c>
      <c r="E81" s="31">
        <v>44085</v>
      </c>
      <c r="F81" s="30" t="s">
        <v>255</v>
      </c>
      <c r="G81" s="30">
        <v>1</v>
      </c>
      <c r="H81" s="30" t="s">
        <v>51</v>
      </c>
      <c r="I81" s="30" t="s">
        <v>51</v>
      </c>
      <c r="J81" s="31">
        <v>44053</v>
      </c>
      <c r="K81" s="30" t="s">
        <v>51</v>
      </c>
      <c r="L81" s="32">
        <v>8764</v>
      </c>
      <c r="M81" s="30" t="s">
        <v>51</v>
      </c>
      <c r="N81" s="32">
        <v>35</v>
      </c>
      <c r="O81" s="30" t="s">
        <v>52</v>
      </c>
      <c r="Q81" s="30" t="s">
        <v>51</v>
      </c>
      <c r="R81" s="30">
        <v>12</v>
      </c>
      <c r="S81" s="30" t="s">
        <v>52</v>
      </c>
      <c r="T81" s="30" t="s">
        <v>287</v>
      </c>
      <c r="U81" s="30" t="s">
        <v>287</v>
      </c>
      <c r="V81" s="30" t="s">
        <v>51</v>
      </c>
      <c r="W81" s="30" t="s">
        <v>265</v>
      </c>
      <c r="X81" s="30" t="s">
        <v>52</v>
      </c>
      <c r="Y81" s="30" t="s">
        <v>287</v>
      </c>
      <c r="Z81" s="30" t="s">
        <v>51</v>
      </c>
      <c r="AA81" s="30" t="s">
        <v>51</v>
      </c>
      <c r="AB81" s="30" t="s">
        <v>54</v>
      </c>
      <c r="AC81" s="30" t="s">
        <v>55</v>
      </c>
      <c r="AD81" s="30" t="s">
        <v>56</v>
      </c>
      <c r="AE81" s="30" t="s">
        <v>51</v>
      </c>
      <c r="AF81" s="30" t="s">
        <v>51</v>
      </c>
      <c r="AG81" s="30" t="s">
        <v>51</v>
      </c>
      <c r="AH81" s="30" t="s">
        <v>51</v>
      </c>
      <c r="AI81" s="30" t="s">
        <v>51</v>
      </c>
      <c r="AJ81" s="30" t="s">
        <v>51</v>
      </c>
      <c r="AK81" s="30" t="s">
        <v>51</v>
      </c>
      <c r="AL81" s="30" t="s">
        <v>51</v>
      </c>
      <c r="AM81" s="30" t="s">
        <v>51</v>
      </c>
      <c r="AN81" s="30" t="s">
        <v>51</v>
      </c>
      <c r="AO81" s="30" t="s">
        <v>287</v>
      </c>
      <c r="AP81" s="30" t="s">
        <v>57</v>
      </c>
      <c r="AQ81" s="30" t="s">
        <v>287</v>
      </c>
      <c r="AR81" s="30" t="s">
        <v>52</v>
      </c>
      <c r="AS81" s="30" t="s">
        <v>52</v>
      </c>
      <c r="AT81" s="30" t="s">
        <v>51</v>
      </c>
      <c r="AU81" s="30" t="s">
        <v>67</v>
      </c>
      <c r="AV81" s="30" t="s">
        <v>82</v>
      </c>
      <c r="AW81" s="30" t="s">
        <v>287</v>
      </c>
      <c r="AX81" s="30" t="s">
        <v>82</v>
      </c>
      <c r="AY81" s="30" t="s">
        <v>287</v>
      </c>
    </row>
    <row r="82" spans="1:51" s="30" customFormat="1" ht="14" x14ac:dyDescent="0.2">
      <c r="A82" s="49">
        <v>51</v>
      </c>
      <c r="B82" s="49" t="s">
        <v>252</v>
      </c>
      <c r="C82" s="30" t="s">
        <v>251</v>
      </c>
      <c r="D82" s="30" t="s">
        <v>256</v>
      </c>
      <c r="E82" s="31">
        <v>44182</v>
      </c>
      <c r="F82" s="30" t="s">
        <v>255</v>
      </c>
      <c r="G82" s="30">
        <v>2</v>
      </c>
      <c r="H82" s="30" t="s">
        <v>51</v>
      </c>
      <c r="I82" s="30" t="s">
        <v>51</v>
      </c>
      <c r="J82" s="31">
        <v>44168</v>
      </c>
      <c r="K82" s="30" t="s">
        <v>51</v>
      </c>
      <c r="L82" s="32">
        <v>17640</v>
      </c>
      <c r="M82" s="30" t="s">
        <v>51</v>
      </c>
      <c r="N82" s="32">
        <v>85</v>
      </c>
      <c r="O82" s="30" t="s">
        <v>52</v>
      </c>
      <c r="Q82" s="30" t="s">
        <v>51</v>
      </c>
      <c r="R82" s="30">
        <v>50</v>
      </c>
      <c r="S82" s="30" t="s">
        <v>52</v>
      </c>
      <c r="T82" s="30" t="s">
        <v>287</v>
      </c>
      <c r="U82" s="30" t="s">
        <v>287</v>
      </c>
      <c r="V82" s="30" t="s">
        <v>51</v>
      </c>
      <c r="W82" s="30" t="s">
        <v>265</v>
      </c>
      <c r="X82" s="30" t="s">
        <v>52</v>
      </c>
      <c r="Y82" s="30" t="s">
        <v>287</v>
      </c>
      <c r="Z82" s="30" t="s">
        <v>51</v>
      </c>
      <c r="AA82" s="30" t="s">
        <v>51</v>
      </c>
      <c r="AB82" s="30" t="s">
        <v>54</v>
      </c>
      <c r="AC82" s="30" t="s">
        <v>55</v>
      </c>
      <c r="AD82" s="30" t="s">
        <v>56</v>
      </c>
      <c r="AE82" s="30" t="s">
        <v>51</v>
      </c>
      <c r="AF82" s="30" t="s">
        <v>51</v>
      </c>
      <c r="AG82" s="30" t="s">
        <v>51</v>
      </c>
      <c r="AH82" s="30" t="s">
        <v>51</v>
      </c>
      <c r="AI82" s="30" t="s">
        <v>51</v>
      </c>
      <c r="AJ82" s="30" t="s">
        <v>51</v>
      </c>
      <c r="AK82" s="30" t="s">
        <v>51</v>
      </c>
      <c r="AL82" s="30" t="s">
        <v>51</v>
      </c>
      <c r="AM82" s="30" t="s">
        <v>51</v>
      </c>
      <c r="AN82" s="30" t="s">
        <v>51</v>
      </c>
      <c r="AO82" s="30" t="s">
        <v>287</v>
      </c>
      <c r="AP82" s="30" t="s">
        <v>57</v>
      </c>
      <c r="AQ82" s="30" t="s">
        <v>287</v>
      </c>
      <c r="AR82" s="30" t="s">
        <v>52</v>
      </c>
      <c r="AS82" s="30" t="s">
        <v>52</v>
      </c>
      <c r="AT82" s="30" t="s">
        <v>51</v>
      </c>
      <c r="AU82" s="30" t="s">
        <v>67</v>
      </c>
      <c r="AV82" s="30" t="s">
        <v>82</v>
      </c>
      <c r="AW82" s="30" t="s">
        <v>287</v>
      </c>
      <c r="AX82" s="30" t="s">
        <v>82</v>
      </c>
      <c r="AY82" s="30" t="s">
        <v>287</v>
      </c>
    </row>
    <row r="83" spans="1:51" s="30" customFormat="1" ht="12.75" customHeight="1" x14ac:dyDescent="0.2">
      <c r="A83" s="49">
        <v>51</v>
      </c>
      <c r="B83" s="49" t="s">
        <v>253</v>
      </c>
      <c r="C83" s="30" t="s">
        <v>251</v>
      </c>
      <c r="D83" s="30" t="s">
        <v>256</v>
      </c>
      <c r="E83" s="31">
        <v>44292</v>
      </c>
      <c r="F83" s="30" t="s">
        <v>255</v>
      </c>
      <c r="G83" s="30">
        <v>3</v>
      </c>
      <c r="H83" s="30" t="s">
        <v>51</v>
      </c>
      <c r="I83" s="30" t="s">
        <v>51</v>
      </c>
      <c r="J83" s="31">
        <v>44256</v>
      </c>
      <c r="K83" s="30" t="s">
        <v>51</v>
      </c>
      <c r="L83" s="32">
        <v>26381</v>
      </c>
      <c r="M83" s="30" t="s">
        <v>51</v>
      </c>
      <c r="N83" s="32">
        <v>196</v>
      </c>
      <c r="O83" s="30" t="s">
        <v>52</v>
      </c>
      <c r="Q83" s="30" t="s">
        <v>51</v>
      </c>
      <c r="R83" s="30">
        <v>111</v>
      </c>
      <c r="S83" s="30" t="s">
        <v>52</v>
      </c>
      <c r="T83" s="30" t="s">
        <v>287</v>
      </c>
      <c r="U83" s="30" t="s">
        <v>287</v>
      </c>
      <c r="V83" s="30" t="s">
        <v>51</v>
      </c>
      <c r="W83" s="30" t="s">
        <v>265</v>
      </c>
      <c r="X83" s="30" t="s">
        <v>52</v>
      </c>
      <c r="Y83" s="30" t="s">
        <v>287</v>
      </c>
      <c r="Z83" s="30" t="s">
        <v>51</v>
      </c>
      <c r="AA83" s="30" t="s">
        <v>51</v>
      </c>
      <c r="AB83" s="30" t="s">
        <v>54</v>
      </c>
      <c r="AC83" s="30" t="s">
        <v>55</v>
      </c>
      <c r="AD83" s="30" t="s">
        <v>56</v>
      </c>
      <c r="AE83" s="30" t="s">
        <v>51</v>
      </c>
      <c r="AF83" s="30" t="s">
        <v>51</v>
      </c>
      <c r="AG83" s="30" t="s">
        <v>51</v>
      </c>
      <c r="AH83" s="30" t="s">
        <v>51</v>
      </c>
      <c r="AI83" s="30" t="s">
        <v>51</v>
      </c>
      <c r="AJ83" s="30" t="s">
        <v>51</v>
      </c>
      <c r="AK83" s="30" t="s">
        <v>51</v>
      </c>
      <c r="AL83" s="30" t="s">
        <v>51</v>
      </c>
      <c r="AM83" s="30" t="s">
        <v>51</v>
      </c>
      <c r="AN83" s="30" t="s">
        <v>51</v>
      </c>
      <c r="AO83" s="30" t="s">
        <v>287</v>
      </c>
      <c r="AP83" s="30" t="s">
        <v>57</v>
      </c>
      <c r="AQ83" s="30" t="s">
        <v>287</v>
      </c>
      <c r="AR83" s="30" t="s">
        <v>52</v>
      </c>
      <c r="AS83" s="30" t="s">
        <v>52</v>
      </c>
      <c r="AT83" s="30" t="s">
        <v>51</v>
      </c>
      <c r="AU83" s="30" t="s">
        <v>67</v>
      </c>
      <c r="AV83" s="30" t="s">
        <v>82</v>
      </c>
      <c r="AW83" s="30" t="s">
        <v>287</v>
      </c>
      <c r="AX83" s="30" t="s">
        <v>82</v>
      </c>
      <c r="AY83" s="30" t="s">
        <v>287</v>
      </c>
    </row>
    <row r="84" spans="1:51" s="30" customFormat="1" ht="15" customHeight="1" x14ac:dyDescent="0.2">
      <c r="A84" s="49">
        <v>51</v>
      </c>
      <c r="B84" s="49" t="s">
        <v>254</v>
      </c>
      <c r="C84" s="30" t="s">
        <v>251</v>
      </c>
      <c r="D84" s="30" t="s">
        <v>256</v>
      </c>
      <c r="E84" s="31">
        <v>44756</v>
      </c>
      <c r="F84" s="30" t="s">
        <v>255</v>
      </c>
      <c r="G84" s="30">
        <v>4</v>
      </c>
      <c r="H84" s="30" t="s">
        <v>51</v>
      </c>
      <c r="I84" s="30" t="s">
        <v>51</v>
      </c>
      <c r="J84" s="31">
        <v>44533</v>
      </c>
      <c r="K84" s="30" t="s">
        <v>51</v>
      </c>
      <c r="L84" s="32">
        <v>65400</v>
      </c>
      <c r="M84" s="30" t="s">
        <v>51</v>
      </c>
      <c r="N84" s="32">
        <v>420</v>
      </c>
      <c r="O84" s="30" t="s">
        <v>52</v>
      </c>
      <c r="Q84" s="30" t="s">
        <v>51</v>
      </c>
      <c r="R84" s="30">
        <v>224</v>
      </c>
      <c r="S84" s="30" t="s">
        <v>52</v>
      </c>
      <c r="T84" s="30" t="s">
        <v>287</v>
      </c>
      <c r="U84" s="30" t="s">
        <v>287</v>
      </c>
      <c r="V84" s="30" t="s">
        <v>51</v>
      </c>
      <c r="W84" s="30" t="s">
        <v>265</v>
      </c>
      <c r="X84" s="30" t="s">
        <v>52</v>
      </c>
      <c r="Y84" s="30" t="s">
        <v>287</v>
      </c>
      <c r="Z84" s="30" t="s">
        <v>51</v>
      </c>
      <c r="AA84" s="30" t="s">
        <v>51</v>
      </c>
      <c r="AB84" s="30" t="s">
        <v>54</v>
      </c>
      <c r="AC84" s="30" t="s">
        <v>55</v>
      </c>
      <c r="AD84" s="30" t="s">
        <v>56</v>
      </c>
      <c r="AE84" s="30" t="s">
        <v>51</v>
      </c>
      <c r="AF84" s="30" t="s">
        <v>51</v>
      </c>
      <c r="AG84" s="30" t="s">
        <v>51</v>
      </c>
      <c r="AH84" s="30" t="s">
        <v>51</v>
      </c>
      <c r="AI84" s="30" t="s">
        <v>51</v>
      </c>
      <c r="AJ84" s="30" t="s">
        <v>51</v>
      </c>
      <c r="AK84" s="30" t="s">
        <v>51</v>
      </c>
      <c r="AL84" s="30" t="s">
        <v>51</v>
      </c>
      <c r="AM84" s="30" t="s">
        <v>51</v>
      </c>
      <c r="AN84" s="30" t="s">
        <v>51</v>
      </c>
      <c r="AO84" s="30" t="s">
        <v>287</v>
      </c>
      <c r="AP84" s="30" t="s">
        <v>57</v>
      </c>
      <c r="AQ84" s="30" t="s">
        <v>287</v>
      </c>
      <c r="AR84" s="30" t="s">
        <v>52</v>
      </c>
      <c r="AS84" s="30" t="s">
        <v>52</v>
      </c>
      <c r="AT84" s="30" t="s">
        <v>51</v>
      </c>
      <c r="AU84" s="30" t="s">
        <v>90</v>
      </c>
      <c r="AV84" s="30" t="s">
        <v>82</v>
      </c>
      <c r="AW84" s="30" t="s">
        <v>287</v>
      </c>
      <c r="AX84" s="30" t="s">
        <v>287</v>
      </c>
      <c r="AY84" s="30" t="s">
        <v>287</v>
      </c>
    </row>
    <row r="85" spans="1:51" s="30" customFormat="1" ht="15" customHeight="1" x14ac:dyDescent="0.2">
      <c r="A85" s="49">
        <v>53</v>
      </c>
      <c r="B85" s="49" t="s">
        <v>258</v>
      </c>
      <c r="C85" s="50" t="s">
        <v>259</v>
      </c>
      <c r="D85" s="30" t="s">
        <v>260</v>
      </c>
      <c r="E85" s="31">
        <v>44733</v>
      </c>
      <c r="F85" s="30" t="s">
        <v>289</v>
      </c>
      <c r="G85" s="30">
        <v>1</v>
      </c>
      <c r="H85" s="30" t="s">
        <v>51</v>
      </c>
      <c r="I85" s="30" t="s">
        <v>51</v>
      </c>
      <c r="J85" s="51">
        <v>44593</v>
      </c>
      <c r="K85" s="30" t="s">
        <v>51</v>
      </c>
      <c r="L85" s="32">
        <v>382</v>
      </c>
      <c r="M85" s="30" t="s">
        <v>51</v>
      </c>
      <c r="N85" s="32">
        <v>11</v>
      </c>
      <c r="O85" s="30" t="s">
        <v>51</v>
      </c>
      <c r="P85" s="30">
        <v>39</v>
      </c>
      <c r="Q85" s="30" t="s">
        <v>52</v>
      </c>
      <c r="S85" s="30" t="s">
        <v>52</v>
      </c>
      <c r="T85" s="30" t="s">
        <v>287</v>
      </c>
      <c r="U85" s="30" t="s">
        <v>287</v>
      </c>
      <c r="V85" s="30" t="s">
        <v>51</v>
      </c>
      <c r="W85" s="30" t="s">
        <v>53</v>
      </c>
      <c r="X85" s="30" t="s">
        <v>52</v>
      </c>
      <c r="Y85" s="30" t="s">
        <v>287</v>
      </c>
      <c r="Z85" s="30" t="s">
        <v>52</v>
      </c>
      <c r="AA85" s="30" t="s">
        <v>51</v>
      </c>
      <c r="AB85" s="30" t="s">
        <v>54</v>
      </c>
      <c r="AC85" s="30" t="s">
        <v>55</v>
      </c>
      <c r="AD85" s="30" t="s">
        <v>56</v>
      </c>
      <c r="AE85" s="30" t="s">
        <v>51</v>
      </c>
      <c r="AF85" s="30" t="s">
        <v>51</v>
      </c>
      <c r="AG85" s="30" t="s">
        <v>51</v>
      </c>
      <c r="AH85" s="30" t="s">
        <v>51</v>
      </c>
      <c r="AI85" s="30" t="s">
        <v>51</v>
      </c>
      <c r="AJ85" s="30" t="s">
        <v>51</v>
      </c>
      <c r="AK85" s="30" t="s">
        <v>51</v>
      </c>
      <c r="AL85" s="30" t="s">
        <v>51</v>
      </c>
      <c r="AM85" s="30" t="s">
        <v>51</v>
      </c>
      <c r="AN85" s="30" t="s">
        <v>51</v>
      </c>
      <c r="AO85" s="30" t="s">
        <v>287</v>
      </c>
      <c r="AP85" s="30" t="s">
        <v>57</v>
      </c>
      <c r="AQ85" s="30" t="s">
        <v>287</v>
      </c>
      <c r="AR85" s="30" t="s">
        <v>52</v>
      </c>
      <c r="AS85" s="30" t="s">
        <v>52</v>
      </c>
      <c r="AT85" s="30" t="s">
        <v>51</v>
      </c>
      <c r="AU85" s="30" t="s">
        <v>78</v>
      </c>
      <c r="AV85" s="43" t="s">
        <v>287</v>
      </c>
      <c r="AW85" s="43" t="s">
        <v>287</v>
      </c>
      <c r="AX85" s="30" t="s">
        <v>69</v>
      </c>
      <c r="AY85" s="30" t="s">
        <v>287</v>
      </c>
    </row>
    <row r="86" spans="1:51" s="30" customFormat="1" ht="14" x14ac:dyDescent="0.2">
      <c r="A86" s="29">
        <v>54</v>
      </c>
      <c r="B86" s="29" t="s">
        <v>261</v>
      </c>
      <c r="C86" s="30" t="s">
        <v>262</v>
      </c>
      <c r="D86" s="30" t="s">
        <v>263</v>
      </c>
      <c r="E86" s="31">
        <v>45009</v>
      </c>
      <c r="F86" s="30" t="s">
        <v>264</v>
      </c>
      <c r="G86" s="30">
        <v>1</v>
      </c>
      <c r="H86" s="30" t="s">
        <v>51</v>
      </c>
      <c r="I86" s="30" t="s">
        <v>51</v>
      </c>
      <c r="J86" s="31">
        <v>44624</v>
      </c>
      <c r="K86" s="30" t="s">
        <v>51</v>
      </c>
      <c r="L86" s="32">
        <v>79383</v>
      </c>
      <c r="M86" s="30" t="s">
        <v>51</v>
      </c>
      <c r="N86" s="32">
        <v>32</v>
      </c>
      <c r="O86" s="30" t="s">
        <v>52</v>
      </c>
      <c r="Q86" s="30" t="s">
        <v>52</v>
      </c>
      <c r="S86" s="30" t="s">
        <v>52</v>
      </c>
      <c r="T86" s="30" t="s">
        <v>287</v>
      </c>
      <c r="U86" s="30" t="s">
        <v>287</v>
      </c>
      <c r="V86" s="30" t="s">
        <v>51</v>
      </c>
      <c r="W86" s="30" t="s">
        <v>265</v>
      </c>
      <c r="X86" s="30" t="s">
        <v>52</v>
      </c>
      <c r="Y86" s="30" t="s">
        <v>287</v>
      </c>
      <c r="Z86" s="30" t="s">
        <v>51</v>
      </c>
      <c r="AA86" s="30" t="s">
        <v>51</v>
      </c>
      <c r="AB86" s="30" t="s">
        <v>54</v>
      </c>
      <c r="AC86" s="30" t="s">
        <v>55</v>
      </c>
      <c r="AD86" s="30" t="s">
        <v>56</v>
      </c>
      <c r="AE86" s="30" t="s">
        <v>51</v>
      </c>
      <c r="AF86" s="30" t="s">
        <v>51</v>
      </c>
      <c r="AG86" s="30" t="s">
        <v>51</v>
      </c>
      <c r="AH86" s="30" t="s">
        <v>51</v>
      </c>
      <c r="AI86" s="30" t="s">
        <v>51</v>
      </c>
      <c r="AJ86" s="30" t="s">
        <v>51</v>
      </c>
      <c r="AK86" s="30" t="s">
        <v>51</v>
      </c>
      <c r="AL86" s="30" t="s">
        <v>51</v>
      </c>
      <c r="AM86" s="30" t="s">
        <v>51</v>
      </c>
      <c r="AN86" s="30" t="s">
        <v>51</v>
      </c>
      <c r="AO86" s="30" t="s">
        <v>287</v>
      </c>
      <c r="AP86" s="30" t="s">
        <v>57</v>
      </c>
      <c r="AQ86" s="30" t="s">
        <v>287</v>
      </c>
      <c r="AR86" s="30" t="s">
        <v>52</v>
      </c>
      <c r="AS86" s="30" t="s">
        <v>52</v>
      </c>
      <c r="AT86" s="30" t="s">
        <v>51</v>
      </c>
      <c r="AU86" s="30" t="s">
        <v>67</v>
      </c>
      <c r="AV86" s="30" t="s">
        <v>82</v>
      </c>
      <c r="AW86" s="30" t="s">
        <v>287</v>
      </c>
      <c r="AX86" s="30" t="s">
        <v>82</v>
      </c>
      <c r="AY86" s="30" t="s">
        <v>287</v>
      </c>
    </row>
    <row r="87" spans="1:51" s="30" customFormat="1" ht="14" x14ac:dyDescent="0.2">
      <c r="A87" s="29">
        <v>55</v>
      </c>
      <c r="B87" s="29" t="s">
        <v>266</v>
      </c>
      <c r="C87" s="30" t="s">
        <v>267</v>
      </c>
      <c r="D87" s="30" t="s">
        <v>268</v>
      </c>
      <c r="E87" s="31">
        <v>44739</v>
      </c>
      <c r="F87" s="30" t="s">
        <v>269</v>
      </c>
      <c r="G87" s="30">
        <v>1</v>
      </c>
      <c r="H87" s="30" t="s">
        <v>51</v>
      </c>
      <c r="I87" s="30" t="s">
        <v>51</v>
      </c>
      <c r="J87" s="31">
        <v>44515</v>
      </c>
      <c r="K87" s="30" t="s">
        <v>51</v>
      </c>
      <c r="L87" s="32">
        <v>602</v>
      </c>
      <c r="M87" s="30" t="s">
        <v>51</v>
      </c>
      <c r="N87" s="32">
        <v>11</v>
      </c>
      <c r="O87" s="30" t="s">
        <v>52</v>
      </c>
      <c r="Q87" s="30" t="s">
        <v>51</v>
      </c>
      <c r="R87" s="30">
        <v>1</v>
      </c>
      <c r="S87" s="30" t="s">
        <v>52</v>
      </c>
      <c r="U87" s="30" t="s">
        <v>287</v>
      </c>
      <c r="V87" s="30" t="s">
        <v>51</v>
      </c>
      <c r="W87" s="30" t="s">
        <v>270</v>
      </c>
      <c r="X87" s="30" t="s">
        <v>52</v>
      </c>
      <c r="Y87" s="30" t="s">
        <v>287</v>
      </c>
      <c r="Z87" s="30" t="s">
        <v>52</v>
      </c>
      <c r="AA87" s="30" t="s">
        <v>51</v>
      </c>
      <c r="AB87" s="30" t="s">
        <v>54</v>
      </c>
      <c r="AC87" s="30" t="s">
        <v>55</v>
      </c>
      <c r="AD87" s="30" t="s">
        <v>56</v>
      </c>
      <c r="AE87" s="30" t="s">
        <v>51</v>
      </c>
      <c r="AF87" s="30" t="s">
        <v>51</v>
      </c>
      <c r="AG87" s="30" t="s">
        <v>51</v>
      </c>
      <c r="AH87" s="30" t="s">
        <v>51</v>
      </c>
      <c r="AI87" s="30" t="s">
        <v>51</v>
      </c>
      <c r="AJ87" s="30" t="s">
        <v>51</v>
      </c>
      <c r="AK87" s="30" t="s">
        <v>51</v>
      </c>
      <c r="AL87" s="30" t="s">
        <v>51</v>
      </c>
      <c r="AM87" s="30" t="s">
        <v>51</v>
      </c>
      <c r="AN87" s="30" t="s">
        <v>51</v>
      </c>
      <c r="AO87" s="30" t="s">
        <v>287</v>
      </c>
      <c r="AP87" s="30" t="s">
        <v>51</v>
      </c>
      <c r="AQ87" s="30" t="s">
        <v>287</v>
      </c>
      <c r="AR87" s="30" t="s">
        <v>52</v>
      </c>
      <c r="AS87" s="30" t="s">
        <v>52</v>
      </c>
      <c r="AT87" s="30" t="s">
        <v>52</v>
      </c>
      <c r="AU87" s="35" t="s">
        <v>287</v>
      </c>
      <c r="AV87" s="35" t="s">
        <v>287</v>
      </c>
      <c r="AW87" s="35" t="s">
        <v>287</v>
      </c>
      <c r="AX87" s="35" t="s">
        <v>287</v>
      </c>
      <c r="AY87" s="35" t="s">
        <v>287</v>
      </c>
    </row>
    <row r="88" spans="1:51" s="30" customFormat="1" ht="12.75" customHeight="1" x14ac:dyDescent="0.2">
      <c r="A88" s="29">
        <v>55</v>
      </c>
      <c r="B88" s="29" t="s">
        <v>271</v>
      </c>
      <c r="C88" s="30" t="s">
        <v>272</v>
      </c>
      <c r="D88" s="30" t="s">
        <v>268</v>
      </c>
      <c r="E88" s="31">
        <v>44846</v>
      </c>
      <c r="F88" s="30" t="s">
        <v>273</v>
      </c>
      <c r="G88" s="30">
        <v>2</v>
      </c>
      <c r="H88" s="30" t="s">
        <v>51</v>
      </c>
      <c r="I88" s="30" t="s">
        <v>51</v>
      </c>
      <c r="J88" s="31">
        <v>44650</v>
      </c>
      <c r="K88" s="30" t="s">
        <v>51</v>
      </c>
      <c r="L88" s="32">
        <v>966</v>
      </c>
      <c r="M88" s="30" t="s">
        <v>51</v>
      </c>
      <c r="N88" s="32">
        <v>8</v>
      </c>
      <c r="O88" s="30" t="s">
        <v>52</v>
      </c>
      <c r="Q88" s="30" t="s">
        <v>52</v>
      </c>
      <c r="S88" s="30" t="s">
        <v>52</v>
      </c>
      <c r="U88" s="30" t="s">
        <v>287</v>
      </c>
      <c r="V88" s="30" t="s">
        <v>51</v>
      </c>
      <c r="W88" s="30" t="s">
        <v>274</v>
      </c>
      <c r="X88" s="30" t="s">
        <v>52</v>
      </c>
      <c r="Y88" s="30" t="s">
        <v>287</v>
      </c>
      <c r="Z88" s="30" t="s">
        <v>52</v>
      </c>
      <c r="AA88" s="30" t="s">
        <v>51</v>
      </c>
      <c r="AB88" s="30" t="s">
        <v>54</v>
      </c>
      <c r="AC88" s="30" t="s">
        <v>55</v>
      </c>
      <c r="AD88" s="30" t="s">
        <v>56</v>
      </c>
      <c r="AE88" s="30" t="s">
        <v>51</v>
      </c>
      <c r="AF88" s="30" t="s">
        <v>51</v>
      </c>
      <c r="AG88" s="30" t="s">
        <v>51</v>
      </c>
      <c r="AH88" s="30" t="s">
        <v>51</v>
      </c>
      <c r="AI88" s="30" t="s">
        <v>51</v>
      </c>
      <c r="AJ88" s="30" t="s">
        <v>51</v>
      </c>
      <c r="AK88" s="30" t="s">
        <v>51</v>
      </c>
      <c r="AL88" s="30" t="s">
        <v>51</v>
      </c>
      <c r="AM88" s="30" t="s">
        <v>51</v>
      </c>
      <c r="AN88" s="30" t="s">
        <v>51</v>
      </c>
      <c r="AO88" s="30" t="s">
        <v>287</v>
      </c>
      <c r="AP88" s="30" t="s">
        <v>57</v>
      </c>
      <c r="AQ88" s="30" t="s">
        <v>287</v>
      </c>
      <c r="AR88" s="30" t="s">
        <v>52</v>
      </c>
      <c r="AS88" s="30" t="s">
        <v>52</v>
      </c>
      <c r="AT88" s="30" t="s">
        <v>52</v>
      </c>
      <c r="AU88" s="35" t="s">
        <v>287</v>
      </c>
      <c r="AV88" s="35" t="s">
        <v>287</v>
      </c>
      <c r="AW88" s="35" t="s">
        <v>287</v>
      </c>
      <c r="AX88" s="35" t="s">
        <v>287</v>
      </c>
      <c r="AY88" s="35" t="s">
        <v>287</v>
      </c>
    </row>
    <row r="89" spans="1:51" s="1" customFormat="1" ht="14" x14ac:dyDescent="0.2">
      <c r="K89" s="9"/>
      <c r="L89" s="2"/>
      <c r="N89" s="2"/>
      <c r="O89" s="9"/>
      <c r="Z89" s="7"/>
      <c r="AD89" s="6"/>
      <c r="AI89" s="3"/>
      <c r="AR89" s="15"/>
      <c r="AT89" s="12"/>
    </row>
    <row r="90" spans="1:51" s="1" customFormat="1" ht="14" x14ac:dyDescent="0.2">
      <c r="K90" s="9"/>
      <c r="L90" s="2"/>
      <c r="N90" s="2"/>
      <c r="O90" s="9"/>
      <c r="Z90" s="7"/>
      <c r="AD90" s="6"/>
      <c r="AI90" s="3"/>
      <c r="AR90" s="15"/>
      <c r="AT90" s="12"/>
    </row>
    <row r="91" spans="1:51" s="1" customFormat="1" ht="14" x14ac:dyDescent="0.2">
      <c r="K91" s="9"/>
      <c r="L91" s="2"/>
      <c r="N91" s="2"/>
      <c r="O91" s="9"/>
      <c r="Z91" s="7"/>
      <c r="AD91" s="6"/>
      <c r="AI91" s="3"/>
      <c r="AR91" s="15"/>
      <c r="AT91" s="12"/>
    </row>
    <row r="92" spans="1:51" s="1" customFormat="1" ht="14" x14ac:dyDescent="0.2">
      <c r="K92" s="9"/>
      <c r="L92" s="2"/>
      <c r="N92" s="2"/>
      <c r="O92" s="9"/>
      <c r="Z92" s="7"/>
      <c r="AD92" s="6"/>
      <c r="AI92" s="3"/>
      <c r="AR92" s="15"/>
      <c r="AT92" s="12"/>
    </row>
    <row r="93" spans="1:51" x14ac:dyDescent="0.2">
      <c r="H93" s="1"/>
      <c r="L93" s="2"/>
      <c r="N93" s="2"/>
      <c r="AE93" s="1"/>
      <c r="AF93" s="1"/>
      <c r="AG93" s="1"/>
      <c r="AH93" s="1"/>
      <c r="AI93" s="3"/>
      <c r="AJ93" s="1"/>
      <c r="AK93" s="1"/>
      <c r="AL93" s="1"/>
      <c r="AM93" s="1"/>
      <c r="AN93" s="1"/>
      <c r="AO93" s="1"/>
      <c r="AP93" s="1"/>
      <c r="AQ93" s="1"/>
      <c r="AR93" s="15"/>
      <c r="AS93" s="1"/>
      <c r="AU93" s="1"/>
      <c r="AV93" s="1"/>
      <c r="AW93" s="1"/>
      <c r="AX93" s="1"/>
      <c r="AY93" s="1"/>
    </row>
    <row r="94" spans="1:51" x14ac:dyDescent="0.2">
      <c r="H94" s="1"/>
      <c r="L94" s="2"/>
      <c r="N94" s="2"/>
      <c r="AE94" s="1"/>
      <c r="AF94" s="1"/>
      <c r="AG94" s="1"/>
      <c r="AH94" s="1"/>
      <c r="AI94" s="3"/>
      <c r="AJ94" s="1"/>
      <c r="AK94" s="1"/>
      <c r="AL94" s="1"/>
      <c r="AM94" s="1"/>
      <c r="AN94" s="1"/>
      <c r="AO94" s="1"/>
      <c r="AP94" s="1"/>
      <c r="AQ94" s="1"/>
      <c r="AR94" s="15"/>
      <c r="AS94" s="1"/>
      <c r="AU94" s="1"/>
      <c r="AV94" s="1"/>
      <c r="AW94" s="1"/>
      <c r="AX94" s="1"/>
      <c r="AY94" s="1"/>
    </row>
    <row r="95" spans="1:51" x14ac:dyDescent="0.2">
      <c r="H95" s="1"/>
      <c r="L95" s="2"/>
      <c r="N95" s="2"/>
      <c r="AE95" s="1"/>
      <c r="AF95" s="1"/>
      <c r="AG95" s="1"/>
      <c r="AH95" s="1"/>
      <c r="AI95" s="3"/>
      <c r="AJ95" s="1"/>
      <c r="AK95" s="1"/>
      <c r="AL95" s="1"/>
      <c r="AM95" s="1"/>
      <c r="AN95" s="1"/>
      <c r="AO95" s="1"/>
      <c r="AP95" s="1"/>
      <c r="AQ95" s="1"/>
      <c r="AR95" s="15"/>
      <c r="AS95" s="1"/>
      <c r="AU95" s="1"/>
      <c r="AV95" s="1"/>
      <c r="AW95" s="1"/>
      <c r="AX95" s="1"/>
      <c r="AY95" s="1"/>
    </row>
    <row r="96" spans="1:51" x14ac:dyDescent="0.2">
      <c r="H96" s="1"/>
      <c r="L96" s="2"/>
      <c r="N96" s="2"/>
      <c r="AE96" s="1"/>
      <c r="AF96" s="1"/>
      <c r="AG96" s="1"/>
      <c r="AH96" s="1"/>
      <c r="AI96" s="3"/>
      <c r="AJ96" s="1"/>
      <c r="AK96" s="1"/>
      <c r="AL96" s="1"/>
      <c r="AM96" s="1"/>
      <c r="AN96" s="1"/>
      <c r="AO96" s="1"/>
      <c r="AP96" s="1"/>
      <c r="AQ96" s="1"/>
      <c r="AR96" s="15"/>
      <c r="AS96" s="1"/>
      <c r="AU96" s="1"/>
      <c r="AV96" s="1"/>
      <c r="AW96" s="1"/>
      <c r="AX96" s="1"/>
      <c r="AY96" s="1"/>
    </row>
    <row r="97" spans="8:51" x14ac:dyDescent="0.2">
      <c r="H97" s="1"/>
      <c r="L97" s="2"/>
      <c r="N97" s="2"/>
      <c r="AE97" s="1"/>
      <c r="AF97" s="1"/>
      <c r="AG97" s="1"/>
      <c r="AH97" s="1"/>
      <c r="AI97" s="3"/>
      <c r="AJ97" s="1"/>
      <c r="AK97" s="1"/>
      <c r="AL97" s="1"/>
      <c r="AM97" s="1"/>
      <c r="AN97" s="1"/>
      <c r="AO97" s="1"/>
      <c r="AP97" s="1"/>
      <c r="AQ97" s="1"/>
      <c r="AR97" s="15"/>
      <c r="AS97" s="1"/>
      <c r="AU97" s="1"/>
      <c r="AV97" s="1"/>
      <c r="AW97" s="1"/>
      <c r="AX97" s="1"/>
      <c r="AY97" s="1"/>
    </row>
    <row r="98" spans="8:51" x14ac:dyDescent="0.2">
      <c r="H98" s="1"/>
      <c r="L98" s="2"/>
      <c r="N98" s="2"/>
      <c r="AR98" s="15"/>
      <c r="AS98" s="1"/>
      <c r="AU98" s="1"/>
      <c r="AV98" s="1"/>
      <c r="AW98" s="1"/>
      <c r="AX98" s="1"/>
      <c r="AY98" s="1"/>
    </row>
    <row r="99" spans="8:51" x14ac:dyDescent="0.2">
      <c r="H99" s="1"/>
      <c r="L99" s="2"/>
      <c r="N99" s="2"/>
      <c r="AR99" s="15"/>
      <c r="AS99" s="1"/>
      <c r="AU99" s="1"/>
      <c r="AV99" s="1"/>
      <c r="AW99" s="1"/>
      <c r="AX99" s="1"/>
      <c r="AY99" s="1"/>
    </row>
    <row r="100" spans="8:51" x14ac:dyDescent="0.2">
      <c r="H100" s="1"/>
      <c r="L100" s="2"/>
      <c r="N100" s="2"/>
      <c r="AR100" s="15"/>
      <c r="AS100" s="1"/>
      <c r="AU100" s="1"/>
      <c r="AV100" s="1"/>
      <c r="AW100" s="1"/>
      <c r="AX100" s="1"/>
      <c r="AY100" s="1"/>
    </row>
    <row r="101" spans="8:51" x14ac:dyDescent="0.2">
      <c r="H101" s="1"/>
      <c r="L101" s="2"/>
      <c r="N101" s="2"/>
      <c r="AR101" s="15"/>
      <c r="AS101" s="1"/>
      <c r="AU101" s="1"/>
      <c r="AV101" s="1"/>
      <c r="AW101" s="1"/>
      <c r="AX101" s="1"/>
      <c r="AY101" s="1"/>
    </row>
    <row r="102" spans="8:51" x14ac:dyDescent="0.2">
      <c r="L102" s="2"/>
      <c r="N102" s="2"/>
      <c r="AR102" s="15"/>
      <c r="AS102" s="1"/>
      <c r="AU102" s="1"/>
      <c r="AV102" s="1"/>
      <c r="AW102" s="1"/>
      <c r="AX102" s="1"/>
      <c r="AY102" s="1"/>
    </row>
    <row r="103" spans="8:51" x14ac:dyDescent="0.2">
      <c r="L103" s="2"/>
      <c r="N103" s="2"/>
      <c r="AR103" s="15"/>
      <c r="AS103" s="1"/>
      <c r="AU103" s="1"/>
      <c r="AV103" s="1"/>
      <c r="AW103" s="1"/>
      <c r="AX103" s="1"/>
      <c r="AY103" s="1"/>
    </row>
    <row r="104" spans="8:51" x14ac:dyDescent="0.2">
      <c r="L104" s="2"/>
      <c r="N104" s="2"/>
      <c r="AR104" s="15"/>
      <c r="AS104" s="1"/>
      <c r="AU104" s="1"/>
      <c r="AV104" s="1"/>
      <c r="AW104" s="1"/>
      <c r="AX104" s="1"/>
      <c r="AY104" s="1"/>
    </row>
    <row r="105" spans="8:51" x14ac:dyDescent="0.2">
      <c r="L105" s="2"/>
      <c r="AR105" s="15"/>
      <c r="AS105" s="1"/>
      <c r="AU105" s="1"/>
      <c r="AV105" s="1"/>
      <c r="AW105" s="1"/>
      <c r="AX105" s="1"/>
      <c r="AY105" s="1"/>
    </row>
    <row r="106" spans="8:51" x14ac:dyDescent="0.2">
      <c r="L106" s="2"/>
      <c r="AU106" s="1"/>
      <c r="AV106" s="1"/>
      <c r="AW106" s="1"/>
      <c r="AX106" s="1"/>
      <c r="AY106" s="1"/>
    </row>
    <row r="107" spans="8:51" x14ac:dyDescent="0.2">
      <c r="L107" s="2"/>
      <c r="AU107" s="1"/>
      <c r="AV107" s="1"/>
      <c r="AW107" s="1"/>
      <c r="AX107" s="1"/>
      <c r="AY107" s="1"/>
    </row>
    <row r="108" spans="8:51" x14ac:dyDescent="0.2">
      <c r="L108" s="2"/>
      <c r="AU108" s="1"/>
    </row>
  </sheetData>
  <autoFilter ref="A1:BL1" xr:uid="{F807DCB1-BBF1-4B90-B3F7-71D336AACA85}"/>
  <phoneticPr fontId="6" type="noConversion"/>
  <dataValidations count="22">
    <dataValidation type="date" allowBlank="1" showInputMessage="1" showErrorMessage="1" sqref="E53 E89:E97 E3:E7 E17:E24 E27:E36 E38:E42" xr:uid="{3F8A462C-DE32-4FCB-8DAA-279C1E04DB59}">
      <formula1>40179</formula1>
      <formula2>46022</formula2>
    </dataValidation>
    <dataValidation type="whole" allowBlank="1" showInputMessage="1" showErrorMessage="1" sqref="G89:G97 G27:G71 G3:G24" xr:uid="{2DC02607-F7AE-4E46-A27A-FA4FF783035B}">
      <formula1>0</formula1>
      <formula2>20</formula2>
    </dataValidation>
    <dataValidation type="whole" allowBlank="1" showInputMessage="1" showErrorMessage="1" sqref="A89:A97 A27:A71 A3:A24" xr:uid="{DB4A0AB5-F303-4E70-A04E-DA7E7D07CE1D}">
      <formula1>0</formula1>
      <formula2>150</formula2>
    </dataValidation>
    <dataValidation type="list" allowBlank="1" showInputMessage="1" showErrorMessage="1" sqref="AE89:AH97 AK89:AN97 AN28:AQ28 AO30:AQ32 AI89:AJ97 K89:K97 H89:H101 Q89:Q97 O89:O97 S89:S97 M89:M97 U89:V97 X89:X97 I89:I97 AO42:AO47 AT89:AT97 AM5:AN24 AL65:AQ65 AL69:AQ69 AL67:AQ67 AN27 AO34:AQ34 U27:U32 U34 AL27:AM34 AN29:AN34 AI2:AJ24 AM50:AQ51 AK84:AQ85 AL70:AN71 AL68:AN68 AL66:AN66 X59:X71 M59:M71 S59:S71 O59:O71 Q59:Q71 K59:K71 AE59:AH71 AI59:AJ83 AM52:AN64 AI52:AJ56 AI27:AJ49 M27:M56 Q27:Q56 O27:O56 K27:K56 S27:S56 AE27:AH56 V27:V56 U2:V24 H27:I71 AL36:AL64 U36:U71 Q2:Q24 X2:X56 S2:S24 M2:M24 O2:O24 K2:K24 H2:I24 AE2:AH24 AK27:AK76 V59:V71 AM4:AQ4 AM2:AQ2 AM3:AN3 AL72:AQ83 AK2:AL24 AM36:AN49 AO19:AQ19 AO36 AO38:AO40 AP36:AP47 AQ36 AQ38:AQ40 AQ42:AQ47 AA2 AA69:AA73 AA35:AA37 AA54:AA67 AA43:AA52 AA4:AA32" xr:uid="{7936035E-313B-40F8-8ABF-A281E81B9CB7}">
      <formula1>"NA,Yes,No,No information"</formula1>
    </dataValidation>
    <dataValidation type="list" allowBlank="1" showInputMessage="1" showErrorMessage="1" sqref="AB89:AB97 AB84:AB85 AB59:AB71 AB27:AB56 AB2:AB24" xr:uid="{3107D713-7C03-4DBE-8077-5FC30BE8116A}">
      <formula1>"Full Report,Partial Report,Search's update without analyse"</formula1>
    </dataValidation>
    <dataValidation type="list" allowBlank="1" showInputMessage="1" showErrorMessage="1" sqref="AC89:AC97 AC59:AC71 AC27:AC56 AC2:AC24" xr:uid="{7D030D44-7564-473E-B464-0F706FBC83C3}">
      <formula1>"Peer-reviewing,Editorial-reviewing,Neither"</formula1>
    </dataValidation>
    <dataValidation type="list" allowBlank="1" showInputMessage="1" showErrorMessage="1" sqref="AP89:AP97 AP27 AP29 AP33 AP70:AP71 AP68 AP66 AP52:AP64 AP48:AP49 AP20:AP24 AP3 AP5:AP18" xr:uid="{CB8E1C56-137A-499F-8D45-E3712E3993A0}">
      <formula1>"Yes,No,No NR Studies"</formula1>
    </dataValidation>
    <dataValidation type="whole" allowBlank="1" showInputMessage="1" showErrorMessage="1" sqref="P89:P97 P59:P71 P27:P56 P2:P24" xr:uid="{ABEE7460-83AC-41A2-9283-6B128AE8CC9E}">
      <formula1>0</formula1>
      <formula2>990000</formula2>
    </dataValidation>
    <dataValidation type="whole" allowBlank="1" showInputMessage="1" showErrorMessage="1" sqref="R89:R97 R59:R71 R27:R56 R2:R24" xr:uid="{4D1EE832-6659-4AEE-A4F3-91235F9FBDEA}">
      <formula1>0</formula1>
      <formula2>90000</formula2>
    </dataValidation>
    <dataValidation type="list" allowBlank="1" showInputMessage="1" showErrorMessage="1" sqref="AD89:AD97 AD59:AD71 AD27:AD56 AD8:AD24 AD2:AD6" xr:uid="{4A7E5A0E-F951-4E9E-A207-32B957F9F692}">
      <formula1>"All,Partially,Not /no information for grey literature,No information at all"</formula1>
    </dataValidation>
    <dataValidation type="whole" allowBlank="1" showInputMessage="1" showErrorMessage="1" sqref="A2" xr:uid="{7FEEC909-0911-4788-877D-93583BFA87D8}">
      <formula1>1</formula1>
      <formula2>100</formula2>
    </dataValidation>
    <dataValidation type="date" allowBlank="1" showInputMessage="1" showErrorMessage="1" sqref="E2" xr:uid="{37511DFC-7344-48A7-AB77-530A17782C18}">
      <formula1>41244</formula1>
      <formula2>45748</formula2>
    </dataValidation>
    <dataValidation type="whole" allowBlank="1" showInputMessage="1" showErrorMessage="1" sqref="G2" xr:uid="{1C95643A-04AD-4C07-9F93-5E8C80788C1B}">
      <formula1>0</formula1>
      <formula2>1000000</formula2>
    </dataValidation>
    <dataValidation type="list" allowBlank="1" showInputMessage="1" showErrorMessage="1" sqref="AT27:AT71 AT16:AT24 AT2:AT14" xr:uid="{E0A5EFA1-055C-42AD-BD17-BC4A08691912}">
      <formula1>"NA,Yes,No,No future updates (retirement)"</formula1>
    </dataValidation>
    <dataValidation type="list" allowBlank="1" showInputMessage="1" showErrorMessage="1" sqref="AR89:AS105 AR15:AT15 AR84:AR87 AR72 AR27:AS71 AR2:AS14 AR16:AS24" xr:uid="{5CD20976-C25A-4ACD-90D6-D928F64DE851}">
      <formula1>"NA,Yes,No,Only if new evidence with change of certainty or conclusions,No future updates (retirement)"</formula1>
    </dataValidation>
    <dataValidation type="list" allowBlank="1" showInputMessage="1" showErrorMessage="1" sqref="AV2:AY4 AX55:AY55 AX18:AY18 AV29 AW35 AV31:AV32 AV74:AY80 AV53:AY53 AV23:AY25 AV8:AY8 AU87:AU108 AV22 AU15:AV15 AV16 AU16:AU25 AV34:AV35 AV55 AX63:AY63 AU2:AU14 AV19:AY19 AX35:AY37 AV38:AY40 AV42:AY42 AX41:AY41 AX43:AY47 AU27:AU56 AU59:AU83 AX72:AY73 AX81:AY83 AV87:AY88" xr:uid="{D3F8B6D2-A034-4893-9539-B55EFBC2EA3F}">
      <formula1>"NA,Online only,Publication only,Both"</formula1>
    </dataValidation>
    <dataValidation type="list" allowBlank="1" showInputMessage="1" showErrorMessage="1" sqref="AV89:AV107 AX89:AX107 AV18:AW18 AV17:AX17 AX20:AX22 AV27:AV28 AV30 AX56 AX54 AV54 AV43:AV52 AV9:AV14 AX59:AX62 AX48:AX52 AV20:AV21 AV85:AW85 AY10:AY16 AW5:AW6 AV56:AV68 AX26:AX34 AW68 AV33 AV5:AV7 AX5:AX7 AV36:AV37 AV41:AW41 AV72:AV73 AV81:AV83 AX9:AX16" xr:uid="{C3DE4EF6-CB87-4FC4-A1AB-72BAC073D248}">
      <formula1>"NA,Fixed frequency, Only if change in certainty or conclusions,As soon as new evidence becomes available,No information"</formula1>
    </dataValidation>
    <dataValidation type="whole" allowBlank="1" showInputMessage="1" showErrorMessage="1" sqref="L89:L108 N89:N104 N59:N71 L59:L71 L50:L56 L27:L48 N27:N56 N2:N24 L2:L24" xr:uid="{6209645F-BBA0-4D7E-AF15-64B8D7FC4729}">
      <formula1>0</formula1>
      <formula2>50000000</formula2>
    </dataValidation>
    <dataValidation type="list" allowBlank="1" showInputMessage="1" showErrorMessage="1" sqref="AD7" xr:uid="{AD9FB338-A0F7-4914-9050-820A641450F7}">
      <formula1>"All,Partially,Not /no information for grey literature,No information"</formula1>
    </dataValidation>
    <dataValidation type="date" allowBlank="1" showInputMessage="1" showErrorMessage="1" sqref="E68:E69" xr:uid="{960F2C3A-4502-4471-A32B-E34174D71EF5}">
      <formula1>40179</formula1>
      <formula2>45747</formula2>
    </dataValidation>
    <dataValidation type="date" allowBlank="1" showInputMessage="1" showErrorMessage="1" sqref="J54:J1048576 J1:J35" xr:uid="{9909987D-0A0C-45D2-87D6-CD71946EF9AF}">
      <formula1>1</formula1>
      <formula2>109575</formula2>
    </dataValidation>
    <dataValidation type="list" allowBlank="1" showInputMessage="1" showErrorMessage="1" sqref="AV69:AV71 AX84:AX85 AX64:AX71" xr:uid="{10E9622E-506D-48E3-8DDF-C7231DE12B61}">
      <formula1>"NA,Fixed frequency, Only if change in certainty or conclusions"</formula1>
    </dataValidation>
  </dataValidations>
  <hyperlinks>
    <hyperlink ref="T70" r:id="rId1" xr:uid="{B8AA8222-74CF-4E11-A828-E8BA236A0BF3}"/>
    <hyperlink ref="T77" r:id="rId2" xr:uid="{1175DAE6-510C-4502-9E1E-C6CA28E713BC}"/>
  </hyperlinks>
  <pageMargins left="0.7" right="0.7" top="0.75" bottom="0.75" header="0.3" footer="0.3"/>
  <pageSetup paperSize="9" orientation="portrait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FEE2C5D240B2459EC1661CCBA9805D" ma:contentTypeVersion="10" ma:contentTypeDescription="Crée un document." ma:contentTypeScope="" ma:versionID="67bd5089b38b12723c87d939de3f2ede">
  <xsd:schema xmlns:xsd="http://www.w3.org/2001/XMLSchema" xmlns:xs="http://www.w3.org/2001/XMLSchema" xmlns:p="http://schemas.microsoft.com/office/2006/metadata/properties" xmlns:ns3="2190e5ae-ae55-4142-bbf2-0ebb7dfe98ea" targetNamespace="http://schemas.microsoft.com/office/2006/metadata/properties" ma:root="true" ma:fieldsID="dea902a796a8f01702f02467de74703e" ns3:_="">
    <xsd:import namespace="2190e5ae-ae55-4142-bbf2-0ebb7dfe98e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90e5ae-ae55-4142-bbf2-0ebb7dfe98e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190e5ae-ae55-4142-bbf2-0ebb7dfe98ea" xsi:nil="true"/>
  </documentManagement>
</p:properties>
</file>

<file path=customXml/itemProps1.xml><?xml version="1.0" encoding="utf-8"?>
<ds:datastoreItem xmlns:ds="http://schemas.openxmlformats.org/officeDocument/2006/customXml" ds:itemID="{CA5AC7FB-F439-43AB-91C2-A908F07F81C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8FF4F68-3284-4099-A6DA-0B8742F2738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190e5ae-ae55-4142-bbf2-0ebb7dfe98e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DDFACC3-0C19-4AC5-B7E3-CEEBB2A54407}">
  <ds:schemaRefs>
    <ds:schemaRef ds:uri="http://purl.org/dc/terms/"/>
    <ds:schemaRef ds:uri="http://purl.org/dc/elements/1.1/"/>
    <ds:schemaRef ds:uri="2190e5ae-ae55-4142-bbf2-0ebb7dfe98ea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WENTA Justine</dc:creator>
  <cp:keywords/>
  <dc:description/>
  <cp:lastModifiedBy>Justine SEGURET WENTA</cp:lastModifiedBy>
  <cp:revision/>
  <dcterms:created xsi:type="dcterms:W3CDTF">2025-04-10T09:35:29Z</dcterms:created>
  <dcterms:modified xsi:type="dcterms:W3CDTF">2026-10-11T13:09:50Z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0x0101000DFEE2C5D240B2459EC1661CCBA9805D</vt:lpwstr>
  </property>
</Properties>
</file>